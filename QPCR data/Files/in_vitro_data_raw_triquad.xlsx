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p_gadaleta_uva_nl/Documents/Microbial Community Project (Pim)/Python Pietro/final version/"/>
    </mc:Choice>
  </mc:AlternateContent>
  <xr:revisionPtr revIDLastSave="42" documentId="8_{7DCC9B17-9FDA-4A0A-AC3F-0E4624EB7748}" xr6:coauthVersionLast="47" xr6:coauthVersionMax="47" xr10:uidLastSave="{CA707595-BF9D-45DE-AE8A-B3E8DBA14BA4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N15" i="1"/>
  <c r="N16" i="1"/>
  <c r="N17" i="1"/>
  <c r="N18" i="1"/>
  <c r="N19" i="1"/>
  <c r="N20" i="1"/>
  <c r="N21" i="1"/>
  <c r="N22" i="1"/>
  <c r="M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" i="1"/>
  <c r="I3" i="1"/>
  <c r="I4" i="1"/>
  <c r="I5" i="1"/>
  <c r="I6" i="1"/>
  <c r="I7" i="1"/>
  <c r="I8" i="1"/>
  <c r="M8" i="1" s="1"/>
  <c r="I9" i="1"/>
  <c r="M9" i="1" s="1"/>
  <c r="I10" i="1"/>
  <c r="M10" i="1" s="1"/>
  <c r="I11" i="1"/>
  <c r="M11" i="1" s="1"/>
  <c r="I12" i="1"/>
  <c r="M12" i="1" s="1"/>
  <c r="I13" i="1"/>
  <c r="N13" i="1" s="1"/>
  <c r="I14" i="1"/>
  <c r="N14" i="1" s="1"/>
  <c r="I15" i="1"/>
  <c r="I16" i="1"/>
  <c r="M16" i="1" s="1"/>
  <c r="I17" i="1"/>
  <c r="M17" i="1" s="1"/>
  <c r="I18" i="1"/>
  <c r="I19" i="1"/>
  <c r="I20" i="1"/>
  <c r="I21" i="1"/>
  <c r="I22" i="1"/>
  <c r="I23" i="1"/>
  <c r="I24" i="1"/>
  <c r="I25" i="1"/>
  <c r="I26" i="1"/>
  <c r="I27" i="1"/>
  <c r="I28" i="1"/>
  <c r="M28" i="1" s="1"/>
  <c r="I2" i="1"/>
  <c r="M2" i="1" s="1"/>
  <c r="H3" i="1"/>
  <c r="N3" i="1" s="1"/>
  <c r="H4" i="1"/>
  <c r="N4" i="1" s="1"/>
  <c r="H5" i="1"/>
  <c r="N5" i="1" s="1"/>
  <c r="H6" i="1"/>
  <c r="N6" i="1" s="1"/>
  <c r="H7" i="1"/>
  <c r="N7" i="1" s="1"/>
  <c r="H8" i="1"/>
  <c r="N8" i="1" s="1"/>
  <c r="H9" i="1"/>
  <c r="N9" i="1" s="1"/>
  <c r="H10" i="1"/>
  <c r="N10" i="1" s="1"/>
  <c r="H11" i="1"/>
  <c r="N11" i="1" s="1"/>
  <c r="H12" i="1"/>
  <c r="N12" i="1" s="1"/>
  <c r="H13" i="1"/>
  <c r="H14" i="1"/>
  <c r="H15" i="1"/>
  <c r="H16" i="1"/>
  <c r="H17" i="1"/>
  <c r="H18" i="1"/>
  <c r="M18" i="1" s="1"/>
  <c r="H19" i="1"/>
  <c r="M19" i="1" s="1"/>
  <c r="H20" i="1"/>
  <c r="M20" i="1" s="1"/>
  <c r="H21" i="1"/>
  <c r="M21" i="1" s="1"/>
  <c r="H22" i="1"/>
  <c r="M22" i="1" s="1"/>
  <c r="H23" i="1"/>
  <c r="N23" i="1" s="1"/>
  <c r="H24" i="1"/>
  <c r="N24" i="1" s="1"/>
  <c r="H25" i="1"/>
  <c r="N25" i="1" s="1"/>
  <c r="H26" i="1"/>
  <c r="N26" i="1" s="1"/>
  <c r="H27" i="1"/>
  <c r="N27" i="1" s="1"/>
  <c r="H28" i="1"/>
  <c r="N28" i="1" s="1"/>
  <c r="H2" i="1"/>
  <c r="N2" i="1" s="1"/>
  <c r="M25" i="1" l="1"/>
  <c r="M5" i="1"/>
  <c r="M24" i="1"/>
  <c r="M4" i="1"/>
  <c r="M23" i="1"/>
  <c r="M3" i="1"/>
  <c r="M14" i="1"/>
  <c r="M7" i="1"/>
  <c r="M27" i="1"/>
  <c r="M13" i="1"/>
  <c r="M26" i="1"/>
  <c r="M6" i="1"/>
</calcChain>
</file>

<file path=xl/sharedStrings.xml><?xml version="1.0" encoding="utf-8"?>
<sst xmlns="http://schemas.openxmlformats.org/spreadsheetml/2006/main" count="82" uniqueCount="35">
  <si>
    <t>culture</t>
  </si>
  <si>
    <t>focal_spec</t>
  </si>
  <si>
    <t>equation</t>
  </si>
  <si>
    <t>Bio1_T1</t>
  </si>
  <si>
    <t>Bio1_T2</t>
  </si>
  <si>
    <t>Bio2_T1</t>
  </si>
  <si>
    <t>Bio2_T2</t>
  </si>
  <si>
    <t>AM</t>
  </si>
  <si>
    <t>EC</t>
  </si>
  <si>
    <t>FP</t>
  </si>
  <si>
    <t>LJ</t>
  </si>
  <si>
    <t>LB</t>
  </si>
  <si>
    <t>BOV</t>
  </si>
  <si>
    <t>BT</t>
  </si>
  <si>
    <t>['AM' 'EC' 'FP' 'LJ' ]</t>
  </si>
  <si>
    <t>['AM' 'EC' 'LJ' 'LB' ]</t>
  </si>
  <si>
    <t>['AM' 'EC' 'LJ' 'BOV']</t>
  </si>
  <si>
    <t>['LJ' 'BOV' 'BT']</t>
  </si>
  <si>
    <t>['EC' 'FP' 'LJ' 'LB']</t>
  </si>
  <si>
    <t>['AM' 'EC' 'FP' 'LB']</t>
  </si>
  <si>
    <t>['EC' 'LJ' 'LB' 'BOV']</t>
  </si>
  <si>
    <t>Y = -2.536*X + 23.01</t>
  </si>
  <si>
    <t>Y = -4.708*X + 16.81</t>
  </si>
  <si>
    <t>Y = -2.274*X + 22.44</t>
  </si>
  <si>
    <t>Y = -3.937*X + 16.98</t>
  </si>
  <si>
    <t>Y = -4.402*X + 24.11</t>
  </si>
  <si>
    <t>Y = -2.401*X + 10.82</t>
  </si>
  <si>
    <t>Y = -4.826*X + 20.31</t>
  </si>
  <si>
    <t>Bio1_avg</t>
  </si>
  <si>
    <t>Bio2_avg</t>
  </si>
  <si>
    <t>Bio1_std</t>
  </si>
  <si>
    <t>Bio2_std</t>
  </si>
  <si>
    <t>in_vitro_ct</t>
  </si>
  <si>
    <t>Std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</si>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</sst>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C2" sqref="C2"/>
    </sheetView>
  </sheetViews>
  <sheetFormatPr defaultRowHeight="14.4" x14ac:dyDescent="0.55000000000000004"/>
  <cols>
    <col min="1" max="1" width="16.89453125" customWidth="1"/>
    <col min="2" max="3" width="16.7890625" bestFit="1" customWidth="1"/>
    <col min="15" max="15" width="10.15625" bestFit="1" customWidth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28</v>
      </c>
      <c r="I1" s="10" t="s">
        <v>29</v>
      </c>
      <c r="J1" s="10" t="s">
        <v>30</v>
      </c>
      <c r="K1" s="10" t="s">
        <v>31</v>
      </c>
      <c r="L1" s="10"/>
      <c r="M1" s="10" t="s">
        <v>32</v>
      </c>
      <c r="N1" s="10" t="s">
        <v>33</v>
      </c>
      <c r="O1" s="10" t="s">
        <v>34</v>
      </c>
    </row>
    <row r="2" spans="1:15" x14ac:dyDescent="0.55000000000000004">
      <c r="A2" s="2" t="s">
        <v>14</v>
      </c>
      <c r="B2" s="3" t="s">
        <v>7</v>
      </c>
      <c r="C2" s="3" t="str">
        <f>_xlfn.XLOOKUP(B2,A$32:A$38, B$32:B$38)</f>
        <v>Y = -2.536*X + 23.01</v>
      </c>
      <c r="D2" s="3">
        <v>22.5029</v>
      </c>
      <c r="E2" s="3">
        <v>22.805</v>
      </c>
      <c r="F2" s="3">
        <v>22.237400000000001</v>
      </c>
      <c r="G2" s="4">
        <v>22.616900000000001</v>
      </c>
      <c r="H2">
        <f>AVERAGE(D2:E2)</f>
        <v>22.653950000000002</v>
      </c>
      <c r="I2">
        <f>AVERAGE(F2:G2)</f>
        <v>22.427150000000001</v>
      </c>
      <c r="J2">
        <f>_xlfn.STDEV.S(D2:E2)</f>
        <v>0.21361695859645558</v>
      </c>
      <c r="K2">
        <f>_xlfn.STDEV.S(F2:G2)</f>
        <v>0.26834702346029493</v>
      </c>
      <c r="L2">
        <f>(J2+K2)/2</f>
        <v>0.24098199102837525</v>
      </c>
      <c r="M2">
        <f>AVERAGE(H2:I2)</f>
        <v>22.540550000000003</v>
      </c>
      <c r="N2">
        <f>_xlfn.STDEV.S(H2:I2)</f>
        <v>0.16037181797310954</v>
      </c>
      <c r="O2">
        <v>1</v>
      </c>
    </row>
    <row r="3" spans="1:15" x14ac:dyDescent="0.55000000000000004">
      <c r="A3" s="5" t="s">
        <v>14</v>
      </c>
      <c r="B3" t="s">
        <v>8</v>
      </c>
      <c r="C3" t="str">
        <f t="shared" ref="C3:C28" si="0">_xlfn.XLOOKUP(B3,A$32:A$38, B$32:B$38)</f>
        <v>Y = -4.708*X + 16.81</v>
      </c>
      <c r="D3">
        <v>16.427499999999998</v>
      </c>
      <c r="E3">
        <v>16.5457</v>
      </c>
      <c r="F3">
        <v>16.1585</v>
      </c>
      <c r="G3" s="6">
        <v>16.5106</v>
      </c>
      <c r="H3">
        <f t="shared" ref="H3:H28" si="1">AVERAGE(D3:E3)</f>
        <v>16.486599999999999</v>
      </c>
      <c r="I3">
        <f t="shared" ref="I3:I28" si="2">AVERAGE(F3:G3)</f>
        <v>16.33455</v>
      </c>
      <c r="J3">
        <f t="shared" ref="J3:J28" si="3">_xlfn.STDEV.S(D3:E3)</f>
        <v>8.3580021536251076E-2</v>
      </c>
      <c r="K3">
        <f t="shared" ref="K3:K28" si="4">_xlfn.STDEV.S(F3:G3)</f>
        <v>0.24897229765578344</v>
      </c>
      <c r="L3">
        <f t="shared" ref="L3:L28" si="5">(J3+K3)/2</f>
        <v>0.16627615959601727</v>
      </c>
      <c r="M3">
        <f t="shared" ref="M3:M28" si="6">AVERAGE(H3:I3)</f>
        <v>16.410575000000001</v>
      </c>
      <c r="N3">
        <f t="shared" ref="N3:N28" si="7">_xlfn.STDEV.S(H3:I3)</f>
        <v>0.10751558607941393</v>
      </c>
      <c r="O3">
        <v>1</v>
      </c>
    </row>
    <row r="4" spans="1:15" x14ac:dyDescent="0.55000000000000004">
      <c r="A4" s="5" t="s">
        <v>14</v>
      </c>
      <c r="B4" t="s">
        <v>9</v>
      </c>
      <c r="C4" t="str">
        <f>_xlfn.XLOOKUP(B4,A$32:A$38, B$32:B$38)</f>
        <v>Y = -2.274*X + 22.44</v>
      </c>
      <c r="D4">
        <v>21.432099999999998</v>
      </c>
      <c r="E4">
        <v>21.6432</v>
      </c>
      <c r="F4">
        <v>21.180900000000001</v>
      </c>
      <c r="G4" s="6">
        <v>21.537099999999999</v>
      </c>
      <c r="H4">
        <f t="shared" si="1"/>
        <v>21.537649999999999</v>
      </c>
      <c r="I4">
        <f t="shared" si="2"/>
        <v>21.359000000000002</v>
      </c>
      <c r="J4">
        <f t="shared" si="3"/>
        <v>0.14927024150848148</v>
      </c>
      <c r="K4">
        <f t="shared" si="4"/>
        <v>0.25187143545864654</v>
      </c>
      <c r="L4">
        <f t="shared" si="5"/>
        <v>0.200570838483564</v>
      </c>
      <c r="M4">
        <f t="shared" si="6"/>
        <v>21.448325000000001</v>
      </c>
      <c r="N4">
        <f t="shared" si="7"/>
        <v>0.12632462645897496</v>
      </c>
      <c r="O4">
        <v>1</v>
      </c>
    </row>
    <row r="5" spans="1:15" x14ac:dyDescent="0.55000000000000004">
      <c r="A5" s="7" t="s">
        <v>14</v>
      </c>
      <c r="B5" s="8" t="s">
        <v>10</v>
      </c>
      <c r="C5" s="8" t="str">
        <f t="shared" si="0"/>
        <v>Y = -3.937*X + 16.98</v>
      </c>
      <c r="D5" s="8">
        <v>16.290900000000001</v>
      </c>
      <c r="E5" s="8">
        <v>16.357099999999999</v>
      </c>
      <c r="F5" s="8">
        <v>16.1295</v>
      </c>
      <c r="G5" s="9">
        <v>16.247299999999999</v>
      </c>
      <c r="H5">
        <f t="shared" si="1"/>
        <v>16.323999999999998</v>
      </c>
      <c r="I5">
        <f t="shared" si="2"/>
        <v>16.188400000000001</v>
      </c>
      <c r="J5">
        <f t="shared" si="3"/>
        <v>4.6810468914548369E-2</v>
      </c>
      <c r="K5">
        <f t="shared" si="4"/>
        <v>8.3297178823774604E-2</v>
      </c>
      <c r="L5">
        <f t="shared" si="5"/>
        <v>6.505382386916149E-2</v>
      </c>
      <c r="M5">
        <f t="shared" si="6"/>
        <v>16.2562</v>
      </c>
      <c r="N5">
        <f t="shared" si="7"/>
        <v>9.5883679528893456E-2</v>
      </c>
      <c r="O5">
        <v>1</v>
      </c>
    </row>
    <row r="6" spans="1:15" x14ac:dyDescent="0.55000000000000004">
      <c r="A6" s="2" t="s">
        <v>15</v>
      </c>
      <c r="B6" s="3" t="s">
        <v>7</v>
      </c>
      <c r="C6" s="3" t="str">
        <f t="shared" si="0"/>
        <v>Y = -2.536*X + 23.01</v>
      </c>
      <c r="D6" s="3">
        <v>21.976199999999999</v>
      </c>
      <c r="E6" s="3">
        <v>22.393000000000001</v>
      </c>
      <c r="F6" s="3">
        <v>22.002400000000002</v>
      </c>
      <c r="G6" s="4">
        <v>22.3108</v>
      </c>
      <c r="H6">
        <f t="shared" si="1"/>
        <v>22.1846</v>
      </c>
      <c r="I6">
        <f t="shared" si="2"/>
        <v>22.156600000000001</v>
      </c>
      <c r="J6">
        <f t="shared" si="3"/>
        <v>0.29472210639855445</v>
      </c>
      <c r="K6">
        <f t="shared" si="4"/>
        <v>0.21807173131793048</v>
      </c>
      <c r="L6">
        <f t="shared" si="5"/>
        <v>0.25639691885824245</v>
      </c>
      <c r="M6">
        <f t="shared" si="6"/>
        <v>22.1706</v>
      </c>
      <c r="N6">
        <f t="shared" si="7"/>
        <v>1.9798989873222407E-2</v>
      </c>
      <c r="O6">
        <v>2</v>
      </c>
    </row>
    <row r="7" spans="1:15" x14ac:dyDescent="0.55000000000000004">
      <c r="A7" s="5" t="s">
        <v>15</v>
      </c>
      <c r="B7" t="s">
        <v>8</v>
      </c>
      <c r="C7" t="str">
        <f t="shared" si="0"/>
        <v>Y = -4.708*X + 16.81</v>
      </c>
      <c r="D7">
        <v>16.322700000000001</v>
      </c>
      <c r="E7">
        <v>16.748899999999999</v>
      </c>
      <c r="F7">
        <v>16.519200000000001</v>
      </c>
      <c r="G7" s="6">
        <v>16.828800000000001</v>
      </c>
      <c r="H7">
        <f t="shared" si="1"/>
        <v>16.535800000000002</v>
      </c>
      <c r="I7">
        <f t="shared" si="2"/>
        <v>16.673999999999999</v>
      </c>
      <c r="J7">
        <f t="shared" si="3"/>
        <v>0.30136891014170508</v>
      </c>
      <c r="K7">
        <f t="shared" si="4"/>
        <v>0.21892025945535487</v>
      </c>
      <c r="L7">
        <f t="shared" si="5"/>
        <v>0.26014458479852998</v>
      </c>
      <c r="M7">
        <f t="shared" si="6"/>
        <v>16.604900000000001</v>
      </c>
      <c r="N7">
        <f t="shared" si="7"/>
        <v>9.7722157159979214E-2</v>
      </c>
      <c r="O7">
        <v>2</v>
      </c>
    </row>
    <row r="8" spans="1:15" x14ac:dyDescent="0.55000000000000004">
      <c r="A8" s="5" t="s">
        <v>15</v>
      </c>
      <c r="B8" t="s">
        <v>10</v>
      </c>
      <c r="C8" t="str">
        <f t="shared" si="0"/>
        <v>Y = -3.937*X + 16.98</v>
      </c>
      <c r="D8">
        <v>15.7799</v>
      </c>
      <c r="E8">
        <v>16.052099999999999</v>
      </c>
      <c r="F8">
        <v>15.6478</v>
      </c>
      <c r="G8" s="6">
        <v>15.9369</v>
      </c>
      <c r="H8">
        <f t="shared" si="1"/>
        <v>15.916</v>
      </c>
      <c r="I8">
        <f t="shared" si="2"/>
        <v>15.792349999999999</v>
      </c>
      <c r="J8">
        <f t="shared" si="3"/>
        <v>0.19247446583897809</v>
      </c>
      <c r="K8">
        <f t="shared" si="4"/>
        <v>0.20442457044103052</v>
      </c>
      <c r="L8">
        <f t="shared" si="5"/>
        <v>0.19844951814000431</v>
      </c>
      <c r="M8">
        <f t="shared" si="6"/>
        <v>15.854175</v>
      </c>
      <c r="N8">
        <f t="shared" si="7"/>
        <v>8.743375349371757E-2</v>
      </c>
      <c r="O8">
        <v>2</v>
      </c>
    </row>
    <row r="9" spans="1:15" x14ac:dyDescent="0.55000000000000004">
      <c r="A9" s="7" t="s">
        <v>15</v>
      </c>
      <c r="B9" s="8" t="s">
        <v>11</v>
      </c>
      <c r="C9" s="8" t="str">
        <f t="shared" si="0"/>
        <v>Y = -4.402*X + 24.11</v>
      </c>
      <c r="D9" s="8">
        <v>22.885000000000002</v>
      </c>
      <c r="E9" s="8">
        <v>23.202500000000001</v>
      </c>
      <c r="F9" s="8">
        <v>23.0518</v>
      </c>
      <c r="G9" s="9">
        <v>23.168099999999999</v>
      </c>
      <c r="H9">
        <f t="shared" si="1"/>
        <v>23.043750000000003</v>
      </c>
      <c r="I9">
        <f t="shared" si="2"/>
        <v>23.109949999999998</v>
      </c>
      <c r="J9">
        <f t="shared" si="3"/>
        <v>0.22450640302672814</v>
      </c>
      <c r="K9">
        <f t="shared" si="4"/>
        <v>8.2236518651994744E-2</v>
      </c>
      <c r="L9">
        <f t="shared" si="5"/>
        <v>0.15337146083936143</v>
      </c>
      <c r="M9">
        <f t="shared" si="6"/>
        <v>23.07685</v>
      </c>
      <c r="N9">
        <f t="shared" si="7"/>
        <v>4.6810468914545857E-2</v>
      </c>
      <c r="O9">
        <v>2</v>
      </c>
    </row>
    <row r="10" spans="1:15" x14ac:dyDescent="0.55000000000000004">
      <c r="A10" s="2" t="s">
        <v>16</v>
      </c>
      <c r="B10" s="3" t="s">
        <v>12</v>
      </c>
      <c r="C10" s="3" t="str">
        <f t="shared" si="0"/>
        <v>Y = -2.401*X + 10.82</v>
      </c>
      <c r="D10" s="3">
        <v>10.076499999999999</v>
      </c>
      <c r="E10" s="3">
        <v>10.18</v>
      </c>
      <c r="F10" s="3">
        <v>10.050599999999999</v>
      </c>
      <c r="G10" s="4">
        <v>10.2172</v>
      </c>
      <c r="H10">
        <f t="shared" si="1"/>
        <v>10.12825</v>
      </c>
      <c r="I10">
        <f t="shared" si="2"/>
        <v>10.133900000000001</v>
      </c>
      <c r="J10">
        <f t="shared" si="3"/>
        <v>7.3185551852807923E-2</v>
      </c>
      <c r="K10">
        <f t="shared" si="4"/>
        <v>0.11780398974567935</v>
      </c>
      <c r="L10">
        <f t="shared" si="5"/>
        <v>9.5494770799243636E-2</v>
      </c>
      <c r="M10">
        <f t="shared" si="6"/>
        <v>10.131074999999999</v>
      </c>
      <c r="N10">
        <f t="shared" si="7"/>
        <v>3.995153313704731E-3</v>
      </c>
      <c r="O10">
        <v>3</v>
      </c>
    </row>
    <row r="11" spans="1:15" x14ac:dyDescent="0.55000000000000004">
      <c r="A11" s="5" t="s">
        <v>16</v>
      </c>
      <c r="B11" t="s">
        <v>10</v>
      </c>
      <c r="C11" t="str">
        <f t="shared" si="0"/>
        <v>Y = -3.937*X + 16.98</v>
      </c>
      <c r="D11">
        <v>15.74</v>
      </c>
      <c r="E11">
        <v>16.004100000000001</v>
      </c>
      <c r="F11">
        <v>15.735799999999999</v>
      </c>
      <c r="G11" s="6">
        <v>15.978999999999999</v>
      </c>
      <c r="H11">
        <f t="shared" si="1"/>
        <v>15.872050000000002</v>
      </c>
      <c r="I11">
        <f t="shared" si="2"/>
        <v>15.857399999999998</v>
      </c>
      <c r="J11">
        <f t="shared" si="3"/>
        <v>0.18674690091136784</v>
      </c>
      <c r="K11">
        <f t="shared" si="4"/>
        <v>0.17196836918456826</v>
      </c>
      <c r="L11">
        <f t="shared" si="5"/>
        <v>0.17935763504796803</v>
      </c>
      <c r="M11">
        <f t="shared" si="6"/>
        <v>15.864725</v>
      </c>
      <c r="N11">
        <f t="shared" si="7"/>
        <v>1.0359114344385157E-2</v>
      </c>
      <c r="O11">
        <v>3</v>
      </c>
    </row>
    <row r="12" spans="1:15" x14ac:dyDescent="0.55000000000000004">
      <c r="A12" s="5" t="s">
        <v>16</v>
      </c>
      <c r="B12" t="s">
        <v>7</v>
      </c>
      <c r="C12" t="str">
        <f t="shared" si="0"/>
        <v>Y = -2.536*X + 23.01</v>
      </c>
      <c r="D12">
        <v>22.241099999999999</v>
      </c>
      <c r="E12">
        <v>22.372599999999998</v>
      </c>
      <c r="F12">
        <v>22.091000000000001</v>
      </c>
      <c r="G12" s="6">
        <v>22.4557</v>
      </c>
      <c r="H12">
        <f t="shared" si="1"/>
        <v>22.306849999999997</v>
      </c>
      <c r="I12">
        <f t="shared" si="2"/>
        <v>22.273350000000001</v>
      </c>
      <c r="J12">
        <f t="shared" si="3"/>
        <v>9.2984541726030337E-2</v>
      </c>
      <c r="K12">
        <f t="shared" si="4"/>
        <v>0.2578818430987333</v>
      </c>
      <c r="L12">
        <f t="shared" si="5"/>
        <v>0.17543319241238181</v>
      </c>
      <c r="M12">
        <f t="shared" si="6"/>
        <v>22.290099999999999</v>
      </c>
      <c r="N12">
        <f t="shared" si="7"/>
        <v>2.3688077169746892E-2</v>
      </c>
      <c r="O12">
        <v>3</v>
      </c>
    </row>
    <row r="13" spans="1:15" x14ac:dyDescent="0.55000000000000004">
      <c r="A13" s="7" t="s">
        <v>16</v>
      </c>
      <c r="B13" s="8" t="s">
        <v>8</v>
      </c>
      <c r="C13" s="8" t="str">
        <f t="shared" si="0"/>
        <v>Y = -4.708*X + 16.81</v>
      </c>
      <c r="D13" s="8">
        <v>16.2392</v>
      </c>
      <c r="E13" s="8">
        <v>16.4132</v>
      </c>
      <c r="F13" s="8">
        <v>16.2301</v>
      </c>
      <c r="G13" s="9">
        <v>16.285699999999999</v>
      </c>
      <c r="H13">
        <f t="shared" si="1"/>
        <v>16.3262</v>
      </c>
      <c r="I13">
        <f t="shared" si="2"/>
        <v>16.257899999999999</v>
      </c>
      <c r="J13">
        <f t="shared" si="3"/>
        <v>0.1230365799264589</v>
      </c>
      <c r="K13">
        <f t="shared" si="4"/>
        <v>3.9315137033970854E-2</v>
      </c>
      <c r="L13">
        <f t="shared" si="5"/>
        <v>8.1175858480214885E-2</v>
      </c>
      <c r="M13">
        <f t="shared" si="6"/>
        <v>16.29205</v>
      </c>
      <c r="N13">
        <f t="shared" si="7"/>
        <v>4.8295393155041687E-2</v>
      </c>
      <c r="O13">
        <v>3</v>
      </c>
    </row>
    <row r="14" spans="1:15" x14ac:dyDescent="0.55000000000000004">
      <c r="A14" s="2" t="s">
        <v>17</v>
      </c>
      <c r="B14" s="3" t="s">
        <v>10</v>
      </c>
      <c r="C14" s="3" t="str">
        <f t="shared" si="0"/>
        <v>Y = -3.937*X + 16.98</v>
      </c>
      <c r="D14" s="3">
        <v>15.401300000000001</v>
      </c>
      <c r="E14" s="3">
        <v>15.5891</v>
      </c>
      <c r="F14" s="3">
        <v>15.367699999999999</v>
      </c>
      <c r="G14" s="4">
        <v>15.6478</v>
      </c>
      <c r="H14">
        <f t="shared" si="1"/>
        <v>15.495200000000001</v>
      </c>
      <c r="I14">
        <f t="shared" si="2"/>
        <v>15.50775</v>
      </c>
      <c r="J14">
        <f t="shared" si="3"/>
        <v>0.13279465350683314</v>
      </c>
      <c r="K14">
        <f t="shared" si="4"/>
        <v>0.19806060941035261</v>
      </c>
      <c r="L14">
        <f t="shared" si="5"/>
        <v>0.16542763145859288</v>
      </c>
      <c r="M14">
        <f t="shared" si="6"/>
        <v>15.501474999999999</v>
      </c>
      <c r="N14">
        <f t="shared" si="7"/>
        <v>8.8741901038905859E-3</v>
      </c>
      <c r="O14">
        <v>4</v>
      </c>
    </row>
    <row r="15" spans="1:15" x14ac:dyDescent="0.55000000000000004">
      <c r="A15" s="5" t="s">
        <v>17</v>
      </c>
      <c r="B15" t="s">
        <v>12</v>
      </c>
      <c r="C15" t="str">
        <f t="shared" si="0"/>
        <v>Y = -2.401*X + 10.82</v>
      </c>
      <c r="D15">
        <v>9.5413999999999994</v>
      </c>
      <c r="E15">
        <v>9.7337000000000007</v>
      </c>
      <c r="F15">
        <v>9.5931999999999995</v>
      </c>
      <c r="G15" s="6">
        <v>9.7481000000000009</v>
      </c>
      <c r="H15">
        <f t="shared" si="1"/>
        <v>9.6375500000000009</v>
      </c>
      <c r="I15">
        <f t="shared" si="2"/>
        <v>9.6706500000000002</v>
      </c>
      <c r="J15">
        <f t="shared" si="3"/>
        <v>0.13597663402217397</v>
      </c>
      <c r="K15">
        <f t="shared" si="4"/>
        <v>0.10953084040579718</v>
      </c>
      <c r="L15">
        <f t="shared" si="5"/>
        <v>0.12275373721398558</v>
      </c>
      <c r="M15">
        <f t="shared" si="6"/>
        <v>9.6540999999999997</v>
      </c>
      <c r="N15">
        <f t="shared" si="7"/>
        <v>2.3405234457274184E-2</v>
      </c>
      <c r="O15">
        <v>4</v>
      </c>
    </row>
    <row r="16" spans="1:15" x14ac:dyDescent="0.55000000000000004">
      <c r="A16" s="7" t="s">
        <v>17</v>
      </c>
      <c r="B16" s="8" t="s">
        <v>13</v>
      </c>
      <c r="C16" s="8" t="str">
        <f t="shared" si="0"/>
        <v>Y = -4.826*X + 20.31</v>
      </c>
      <c r="D16" s="8">
        <v>19.7195</v>
      </c>
      <c r="E16" s="8">
        <v>19.853000000000002</v>
      </c>
      <c r="F16" s="8">
        <v>19.688199999999998</v>
      </c>
      <c r="G16" s="9">
        <v>19.990600000000001</v>
      </c>
      <c r="H16">
        <f t="shared" si="1"/>
        <v>19.786250000000003</v>
      </c>
      <c r="I16">
        <f t="shared" si="2"/>
        <v>19.839399999999998</v>
      </c>
      <c r="J16">
        <f t="shared" si="3"/>
        <v>9.4398755288405148E-2</v>
      </c>
      <c r="K16">
        <f t="shared" si="4"/>
        <v>0.21382909063081354</v>
      </c>
      <c r="L16">
        <f t="shared" si="5"/>
        <v>0.15411392295960935</v>
      </c>
      <c r="M16">
        <f t="shared" si="6"/>
        <v>19.812825</v>
      </c>
      <c r="N16">
        <f t="shared" si="7"/>
        <v>3.7582725420061566E-2</v>
      </c>
      <c r="O16">
        <v>4</v>
      </c>
    </row>
    <row r="17" spans="1:15" x14ac:dyDescent="0.55000000000000004">
      <c r="A17" s="2" t="s">
        <v>18</v>
      </c>
      <c r="B17" s="3" t="s">
        <v>9</v>
      </c>
      <c r="C17" s="3" t="str">
        <f t="shared" si="0"/>
        <v>Y = -2.274*X + 22.44</v>
      </c>
      <c r="D17" s="3">
        <v>21.403199999999998</v>
      </c>
      <c r="E17" s="3">
        <v>21.7316</v>
      </c>
      <c r="F17" s="3">
        <v>21.2682</v>
      </c>
      <c r="G17" s="4">
        <v>21.6203</v>
      </c>
      <c r="H17">
        <f t="shared" si="1"/>
        <v>21.567399999999999</v>
      </c>
      <c r="I17">
        <f t="shared" si="2"/>
        <v>21.44425</v>
      </c>
      <c r="J17">
        <f t="shared" si="3"/>
        <v>0.23221386694166363</v>
      </c>
      <c r="K17">
        <f t="shared" si="4"/>
        <v>0.24897229765578344</v>
      </c>
      <c r="L17">
        <f t="shared" si="5"/>
        <v>0.24059308229872353</v>
      </c>
      <c r="M17">
        <f t="shared" si="6"/>
        <v>21.505825000000002</v>
      </c>
      <c r="N17">
        <f t="shared" si="7"/>
        <v>8.7080200103122604E-2</v>
      </c>
      <c r="O17">
        <v>5</v>
      </c>
    </row>
    <row r="18" spans="1:15" x14ac:dyDescent="0.55000000000000004">
      <c r="A18" s="5" t="s">
        <v>18</v>
      </c>
      <c r="B18" t="s">
        <v>10</v>
      </c>
      <c r="C18" t="str">
        <f t="shared" si="0"/>
        <v>Y = -3.937*X + 16.98</v>
      </c>
      <c r="D18">
        <v>15.744400000000001</v>
      </c>
      <c r="E18">
        <v>16.0318</v>
      </c>
      <c r="F18">
        <v>15.795400000000001</v>
      </c>
      <c r="G18" s="6">
        <v>16.0763</v>
      </c>
      <c r="H18">
        <f t="shared" si="1"/>
        <v>15.888100000000001</v>
      </c>
      <c r="I18">
        <f t="shared" si="2"/>
        <v>15.93585</v>
      </c>
      <c r="J18">
        <f t="shared" si="3"/>
        <v>0.20322248891301367</v>
      </c>
      <c r="K18">
        <f t="shared" si="4"/>
        <v>0.19862629483530053</v>
      </c>
      <c r="L18">
        <f t="shared" si="5"/>
        <v>0.20092439187415712</v>
      </c>
      <c r="M18">
        <f t="shared" si="6"/>
        <v>15.911975000000002</v>
      </c>
      <c r="N18">
        <f t="shared" si="7"/>
        <v>3.3764348801656831E-2</v>
      </c>
      <c r="O18">
        <v>5</v>
      </c>
    </row>
    <row r="19" spans="1:15" x14ac:dyDescent="0.55000000000000004">
      <c r="A19" s="5" t="s">
        <v>18</v>
      </c>
      <c r="B19" t="s">
        <v>11</v>
      </c>
      <c r="C19" t="str">
        <f t="shared" si="0"/>
        <v>Y = -4.402*X + 24.11</v>
      </c>
      <c r="D19">
        <v>22.950299999999999</v>
      </c>
      <c r="E19">
        <v>23.129300000000001</v>
      </c>
      <c r="F19">
        <v>22.878599999999999</v>
      </c>
      <c r="G19" s="6">
        <v>23.135200000000001</v>
      </c>
      <c r="H19">
        <f t="shared" si="1"/>
        <v>23.0398</v>
      </c>
      <c r="I19">
        <f t="shared" si="2"/>
        <v>23.006900000000002</v>
      </c>
      <c r="J19">
        <f t="shared" si="3"/>
        <v>0.12657211383239347</v>
      </c>
      <c r="K19">
        <f t="shared" si="4"/>
        <v>0.18144360005246976</v>
      </c>
      <c r="L19">
        <f t="shared" si="5"/>
        <v>0.15400785694243163</v>
      </c>
      <c r="M19">
        <f t="shared" si="6"/>
        <v>23.023350000000001</v>
      </c>
      <c r="N19">
        <f t="shared" si="7"/>
        <v>2.3263813101035952E-2</v>
      </c>
      <c r="O19">
        <v>5</v>
      </c>
    </row>
    <row r="20" spans="1:15" x14ac:dyDescent="0.55000000000000004">
      <c r="A20" s="7" t="s">
        <v>18</v>
      </c>
      <c r="B20" s="8" t="s">
        <v>8</v>
      </c>
      <c r="C20" s="8" t="str">
        <f t="shared" si="0"/>
        <v>Y = -4.708*X + 16.81</v>
      </c>
      <c r="D20" s="8">
        <v>16.4954</v>
      </c>
      <c r="E20" s="8">
        <v>16.849599999999999</v>
      </c>
      <c r="F20" s="8">
        <v>16.682500000000001</v>
      </c>
      <c r="G20" s="9">
        <v>16.852499999999999</v>
      </c>
      <c r="H20">
        <f t="shared" si="1"/>
        <v>16.672499999999999</v>
      </c>
      <c r="I20">
        <f t="shared" si="2"/>
        <v>16.767499999999998</v>
      </c>
      <c r="J20">
        <f t="shared" si="3"/>
        <v>0.25045722189627423</v>
      </c>
      <c r="K20">
        <f t="shared" si="4"/>
        <v>0.12020815280171177</v>
      </c>
      <c r="L20">
        <f t="shared" si="5"/>
        <v>0.185332687348993</v>
      </c>
      <c r="M20">
        <f t="shared" si="6"/>
        <v>16.72</v>
      </c>
      <c r="N20">
        <f t="shared" si="7"/>
        <v>6.7175144212721208E-2</v>
      </c>
      <c r="O20">
        <v>5</v>
      </c>
    </row>
    <row r="21" spans="1:15" x14ac:dyDescent="0.55000000000000004">
      <c r="A21" s="2" t="s">
        <v>19</v>
      </c>
      <c r="B21" s="3" t="s">
        <v>9</v>
      </c>
      <c r="C21" s="3" t="str">
        <f t="shared" si="0"/>
        <v>Y = -2.274*X + 22.44</v>
      </c>
      <c r="D21" s="3">
        <v>21.089400000000001</v>
      </c>
      <c r="E21" s="3">
        <v>21.549600000000002</v>
      </c>
      <c r="F21" s="3">
        <v>21.347999999999999</v>
      </c>
      <c r="G21" s="4">
        <v>21.813700000000001</v>
      </c>
      <c r="H21">
        <f t="shared" si="1"/>
        <v>21.319500000000001</v>
      </c>
      <c r="I21">
        <f t="shared" si="2"/>
        <v>21.580849999999998</v>
      </c>
      <c r="J21">
        <f t="shared" si="3"/>
        <v>0.32541054070204944</v>
      </c>
      <c r="K21">
        <f t="shared" si="4"/>
        <v>0.32929962799857643</v>
      </c>
      <c r="L21">
        <f t="shared" si="5"/>
        <v>0.32735508435031291</v>
      </c>
      <c r="M21">
        <f t="shared" si="6"/>
        <v>21.450175000000002</v>
      </c>
      <c r="N21">
        <f t="shared" si="7"/>
        <v>0.18480235726310182</v>
      </c>
      <c r="O21">
        <v>6</v>
      </c>
    </row>
    <row r="22" spans="1:15" x14ac:dyDescent="0.55000000000000004">
      <c r="A22" s="5" t="s">
        <v>19</v>
      </c>
      <c r="B22" t="s">
        <v>11</v>
      </c>
      <c r="C22" t="str">
        <f t="shared" si="0"/>
        <v>Y = -4.402*X + 24.11</v>
      </c>
      <c r="D22">
        <v>22.677399999999999</v>
      </c>
      <c r="E22">
        <v>23.1433</v>
      </c>
      <c r="F22">
        <v>22.686900000000001</v>
      </c>
      <c r="G22" s="6">
        <v>23.093599999999999</v>
      </c>
      <c r="H22">
        <f t="shared" si="1"/>
        <v>22.910350000000001</v>
      </c>
      <c r="I22">
        <f t="shared" si="2"/>
        <v>22.890250000000002</v>
      </c>
      <c r="J22">
        <f t="shared" si="3"/>
        <v>0.32944104935481344</v>
      </c>
      <c r="K22">
        <f t="shared" si="4"/>
        <v>0.28758032790856686</v>
      </c>
      <c r="L22">
        <f t="shared" si="5"/>
        <v>0.30851068863169018</v>
      </c>
      <c r="M22">
        <f t="shared" si="6"/>
        <v>22.900300000000001</v>
      </c>
      <c r="N22">
        <f t="shared" si="7"/>
        <v>1.4212846301849139E-2</v>
      </c>
      <c r="O22">
        <v>6</v>
      </c>
    </row>
    <row r="23" spans="1:15" x14ac:dyDescent="0.55000000000000004">
      <c r="A23" s="5" t="s">
        <v>19</v>
      </c>
      <c r="B23" t="s">
        <v>7</v>
      </c>
      <c r="C23" t="str">
        <f t="shared" si="0"/>
        <v>Y = -2.536*X + 23.01</v>
      </c>
      <c r="D23">
        <v>22.699000000000002</v>
      </c>
      <c r="E23">
        <v>22.850999999999999</v>
      </c>
      <c r="F23">
        <v>22.725100000000001</v>
      </c>
      <c r="G23" s="6">
        <v>23.005700000000001</v>
      </c>
      <c r="H23">
        <f t="shared" si="1"/>
        <v>22.774999999999999</v>
      </c>
      <c r="I23">
        <f t="shared" si="2"/>
        <v>22.865400000000001</v>
      </c>
      <c r="J23">
        <f t="shared" si="3"/>
        <v>0.10748023074035343</v>
      </c>
      <c r="K23">
        <f t="shared" si="4"/>
        <v>0.19841416280094504</v>
      </c>
      <c r="L23">
        <f t="shared" si="5"/>
        <v>0.15294719677064922</v>
      </c>
      <c r="M23">
        <f t="shared" si="6"/>
        <v>22.8202</v>
      </c>
      <c r="N23">
        <f t="shared" si="7"/>
        <v>6.3922453019265649E-2</v>
      </c>
      <c r="O23">
        <v>6</v>
      </c>
    </row>
    <row r="24" spans="1:15" x14ac:dyDescent="0.55000000000000004">
      <c r="A24" s="7" t="s">
        <v>19</v>
      </c>
      <c r="B24" s="8" t="s">
        <v>8</v>
      </c>
      <c r="C24" s="8" t="str">
        <f t="shared" si="0"/>
        <v>Y = -4.708*X + 16.81</v>
      </c>
      <c r="D24" s="8">
        <v>16.186800000000002</v>
      </c>
      <c r="E24" s="8">
        <v>16.549499999999998</v>
      </c>
      <c r="F24" s="8">
        <v>16.229600000000001</v>
      </c>
      <c r="G24" s="9">
        <v>16.704499999999999</v>
      </c>
      <c r="H24">
        <f t="shared" si="1"/>
        <v>16.36815</v>
      </c>
      <c r="I24">
        <f t="shared" si="2"/>
        <v>16.46705</v>
      </c>
      <c r="J24">
        <f t="shared" si="3"/>
        <v>0.25646762953635843</v>
      </c>
      <c r="K24">
        <f t="shared" si="4"/>
        <v>0.3358050103854901</v>
      </c>
      <c r="L24">
        <f t="shared" si="5"/>
        <v>0.29613631996092427</v>
      </c>
      <c r="M24">
        <f t="shared" si="6"/>
        <v>16.4176</v>
      </c>
      <c r="N24">
        <f t="shared" si="7"/>
        <v>6.9932860659349852E-2</v>
      </c>
      <c r="O24">
        <v>6</v>
      </c>
    </row>
    <row r="25" spans="1:15" x14ac:dyDescent="0.55000000000000004">
      <c r="A25" s="2" t="s">
        <v>20</v>
      </c>
      <c r="B25" s="3" t="s">
        <v>11</v>
      </c>
      <c r="C25" s="3" t="str">
        <f t="shared" si="0"/>
        <v>Y = -4.402*X + 24.11</v>
      </c>
      <c r="D25" s="3">
        <v>23.551100000000002</v>
      </c>
      <c r="E25" s="3">
        <v>23.94</v>
      </c>
      <c r="F25" s="3">
        <v>23.545000000000002</v>
      </c>
      <c r="G25" s="4">
        <v>23.967700000000001</v>
      </c>
      <c r="H25">
        <f t="shared" si="1"/>
        <v>23.745550000000001</v>
      </c>
      <c r="I25">
        <f t="shared" si="2"/>
        <v>23.756350000000001</v>
      </c>
      <c r="J25">
        <f t="shared" si="3"/>
        <v>0.27499382720344806</v>
      </c>
      <c r="K25">
        <f t="shared" si="4"/>
        <v>0.29889403640755291</v>
      </c>
      <c r="L25">
        <f t="shared" si="5"/>
        <v>0.28694393180550049</v>
      </c>
      <c r="M25">
        <f t="shared" si="6"/>
        <v>23.750950000000003</v>
      </c>
      <c r="N25">
        <f t="shared" si="7"/>
        <v>7.6367532368144999E-3</v>
      </c>
      <c r="O25">
        <v>7</v>
      </c>
    </row>
    <row r="26" spans="1:15" x14ac:dyDescent="0.55000000000000004">
      <c r="A26" s="5" t="s">
        <v>20</v>
      </c>
      <c r="B26" t="s">
        <v>12</v>
      </c>
      <c r="C26" t="str">
        <f t="shared" si="0"/>
        <v>Y = -2.401*X + 10.82</v>
      </c>
      <c r="D26">
        <v>9.3178000000000001</v>
      </c>
      <c r="E26">
        <v>9.4390999999999998</v>
      </c>
      <c r="F26">
        <v>9.2784999999999993</v>
      </c>
      <c r="G26" s="6">
        <v>9.4117999999999995</v>
      </c>
      <c r="H26">
        <f t="shared" si="1"/>
        <v>9.3784500000000008</v>
      </c>
      <c r="I26">
        <f t="shared" si="2"/>
        <v>9.3451500000000003</v>
      </c>
      <c r="J26">
        <f t="shared" si="3"/>
        <v>8.5772052557928039E-2</v>
      </c>
      <c r="K26">
        <f t="shared" si="4"/>
        <v>9.4257333932166926E-2</v>
      </c>
      <c r="L26">
        <f t="shared" si="5"/>
        <v>9.0014693245047489E-2</v>
      </c>
      <c r="M26">
        <f t="shared" si="6"/>
        <v>9.3618000000000006</v>
      </c>
      <c r="N26">
        <f t="shared" si="7"/>
        <v>2.3546655813512424E-2</v>
      </c>
      <c r="O26">
        <v>7</v>
      </c>
    </row>
    <row r="27" spans="1:15" x14ac:dyDescent="0.55000000000000004">
      <c r="A27" s="5" t="s">
        <v>20</v>
      </c>
      <c r="B27" t="s">
        <v>8</v>
      </c>
      <c r="C27" t="str">
        <f t="shared" si="0"/>
        <v>Y = -4.708*X + 16.81</v>
      </c>
      <c r="D27">
        <v>16.111599999999999</v>
      </c>
      <c r="E27">
        <v>16.462399999999999</v>
      </c>
      <c r="F27">
        <v>16.126300000000001</v>
      </c>
      <c r="G27" s="6">
        <v>16.4452</v>
      </c>
      <c r="H27">
        <f t="shared" si="1"/>
        <v>16.286999999999999</v>
      </c>
      <c r="I27">
        <f t="shared" si="2"/>
        <v>16.28575</v>
      </c>
      <c r="J27">
        <f t="shared" si="3"/>
        <v>0.24805305884024056</v>
      </c>
      <c r="K27">
        <f t="shared" si="4"/>
        <v>0.22549635252038952</v>
      </c>
      <c r="L27">
        <f t="shared" si="5"/>
        <v>0.23677470568031506</v>
      </c>
      <c r="M27">
        <f t="shared" si="6"/>
        <v>16.286375</v>
      </c>
      <c r="N27">
        <f t="shared" si="7"/>
        <v>8.8388347648238048E-4</v>
      </c>
      <c r="O27">
        <v>7</v>
      </c>
    </row>
    <row r="28" spans="1:15" x14ac:dyDescent="0.55000000000000004">
      <c r="A28" s="7" t="s">
        <v>20</v>
      </c>
      <c r="B28" s="8" t="s">
        <v>10</v>
      </c>
      <c r="C28" s="8" t="str">
        <f t="shared" si="0"/>
        <v>Y = -3.937*X + 16.98</v>
      </c>
      <c r="D28" s="8">
        <v>16.0532</v>
      </c>
      <c r="E28" s="8">
        <v>16.46</v>
      </c>
      <c r="F28" s="8">
        <v>16.1906</v>
      </c>
      <c r="G28" s="9">
        <v>16.535799999999998</v>
      </c>
      <c r="H28">
        <f t="shared" si="1"/>
        <v>16.256599999999999</v>
      </c>
      <c r="I28">
        <f t="shared" si="2"/>
        <v>16.363199999999999</v>
      </c>
      <c r="J28">
        <f t="shared" si="3"/>
        <v>0.28765103858668789</v>
      </c>
      <c r="K28">
        <f t="shared" si="4"/>
        <v>0.24409326086559507</v>
      </c>
      <c r="L28">
        <f t="shared" si="5"/>
        <v>0.26587214972614148</v>
      </c>
      <c r="M28">
        <f t="shared" si="6"/>
        <v>16.309899999999999</v>
      </c>
      <c r="N28">
        <f t="shared" si="7"/>
        <v>7.5377582874486149E-2</v>
      </c>
      <c r="O28">
        <v>7</v>
      </c>
    </row>
    <row r="32" spans="1:15" x14ac:dyDescent="0.55000000000000004">
      <c r="A32" t="s">
        <v>7</v>
      </c>
      <c r="B32" t="s">
        <v>21</v>
      </c>
    </row>
    <row r="33" spans="1:2" x14ac:dyDescent="0.55000000000000004">
      <c r="A33" t="s">
        <v>8</v>
      </c>
      <c r="B33" t="s">
        <v>22</v>
      </c>
    </row>
    <row r="34" spans="1:2" x14ac:dyDescent="0.55000000000000004">
      <c r="A34" t="s">
        <v>9</v>
      </c>
      <c r="B34" t="s">
        <v>23</v>
      </c>
    </row>
    <row r="35" spans="1:2" x14ac:dyDescent="0.55000000000000004">
      <c r="A35" t="s">
        <v>10</v>
      </c>
      <c r="B35" t="s">
        <v>24</v>
      </c>
    </row>
    <row r="36" spans="1:2" x14ac:dyDescent="0.55000000000000004">
      <c r="A36" t="s">
        <v>11</v>
      </c>
      <c r="B36" t="s">
        <v>25</v>
      </c>
    </row>
    <row r="37" spans="1:2" x14ac:dyDescent="0.55000000000000004">
      <c r="A37" t="s">
        <v>12</v>
      </c>
      <c r="B37" t="s">
        <v>26</v>
      </c>
    </row>
    <row r="38" spans="1:2" x14ac:dyDescent="0.55000000000000004">
      <c r="A38" t="s">
        <v>13</v>
      </c>
      <c r="B3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Gadaleta</dc:creator>
  <cp:lastModifiedBy>Pietro Gadaleta</cp:lastModifiedBy>
  <dcterms:created xsi:type="dcterms:W3CDTF">2025-08-20T12:35:26Z</dcterms:created>
  <dcterms:modified xsi:type="dcterms:W3CDTF">2025-09-11T13:59:27Z</dcterms:modified>
</cp:coreProperties>
</file>
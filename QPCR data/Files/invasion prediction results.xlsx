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p_gadaleta_uva_nl/Documents/Microbial Community Project (Pim)/Python Pietro/final version/"/>
    </mc:Choice>
  </mc:AlternateContent>
  <xr:revisionPtr revIDLastSave="28" documentId="13_ncr:1_{9AB47853-139A-4EB1-A92A-C6E4F91ADB1D}" xr6:coauthVersionLast="47" xr6:coauthVersionMax="47" xr10:uidLastSave="{8E801059-6440-44B1-A6FD-F67792A4BECB}"/>
  <bookViews>
    <workbookView xWindow="-96" yWindow="-96" windowWidth="23232" windowHeight="13872" xr2:uid="{924D23B6-2268-464F-BE05-3A70A28CE067}"/>
  </bookViews>
  <sheets>
    <sheet name="Post invasion" sheetId="1" r:id="rId1"/>
    <sheet name="Pre inva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2" l="1"/>
  <c r="M38" i="2"/>
  <c r="N38" i="2"/>
  <c r="L39" i="2"/>
  <c r="M39" i="2"/>
  <c r="N39" i="2"/>
  <c r="L40" i="2"/>
  <c r="M40" i="2"/>
  <c r="N40" i="2"/>
  <c r="L41" i="2"/>
  <c r="M41" i="2"/>
  <c r="S41" i="1" s="1"/>
  <c r="N41" i="2"/>
  <c r="T41" i="1" s="1"/>
  <c r="L42" i="2"/>
  <c r="R42" i="1" s="1"/>
  <c r="M42" i="2"/>
  <c r="S42" i="1" s="1"/>
  <c r="N42" i="2"/>
  <c r="T42" i="1" s="1"/>
  <c r="L43" i="2"/>
  <c r="R43" i="1" s="1"/>
  <c r="M43" i="2"/>
  <c r="S43" i="1" s="1"/>
  <c r="N43" i="2"/>
  <c r="T43" i="1" s="1"/>
  <c r="L44" i="2"/>
  <c r="R44" i="1" s="1"/>
  <c r="M44" i="2"/>
  <c r="S44" i="1" s="1"/>
  <c r="N44" i="2"/>
  <c r="L45" i="2"/>
  <c r="M45" i="2"/>
  <c r="N45" i="2"/>
  <c r="L46" i="2"/>
  <c r="R46" i="1" s="1"/>
  <c r="M46" i="2"/>
  <c r="N46" i="2"/>
  <c r="R38" i="1"/>
  <c r="S38" i="1"/>
  <c r="T38" i="1"/>
  <c r="U38" i="1"/>
  <c r="V38" i="1"/>
  <c r="R39" i="1"/>
  <c r="S39" i="1"/>
  <c r="T39" i="1"/>
  <c r="U39" i="1"/>
  <c r="V39" i="1"/>
  <c r="R40" i="1"/>
  <c r="U40" i="1" s="1"/>
  <c r="S40" i="1"/>
  <c r="T40" i="1"/>
  <c r="R41" i="1"/>
  <c r="T44" i="1"/>
  <c r="R45" i="1"/>
  <c r="S45" i="1"/>
  <c r="T45" i="1"/>
  <c r="U45" i="1"/>
  <c r="V45" i="1"/>
  <c r="S46" i="1"/>
  <c r="T46" i="1"/>
  <c r="P4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Q46" i="1"/>
  <c r="N37" i="1"/>
  <c r="N38" i="1"/>
  <c r="N39" i="1"/>
  <c r="N40" i="1"/>
  <c r="N41" i="1"/>
  <c r="N42" i="1"/>
  <c r="N43" i="1"/>
  <c r="N44" i="1"/>
  <c r="N45" i="1"/>
  <c r="N46" i="1"/>
  <c r="M37" i="1"/>
  <c r="M38" i="1"/>
  <c r="M39" i="1"/>
  <c r="M40" i="1"/>
  <c r="M41" i="1"/>
  <c r="M42" i="1"/>
  <c r="M43" i="1"/>
  <c r="M44" i="1"/>
  <c r="M45" i="1"/>
  <c r="M46" i="1"/>
  <c r="C37" i="1"/>
  <c r="C38" i="1"/>
  <c r="C39" i="1"/>
  <c r="C40" i="1"/>
  <c r="C41" i="1"/>
  <c r="C42" i="1"/>
  <c r="C43" i="1"/>
  <c r="C44" i="1"/>
  <c r="C45" i="1"/>
  <c r="C46" i="1"/>
  <c r="R37" i="1"/>
  <c r="S37" i="1"/>
  <c r="T37" i="1"/>
  <c r="T36" i="1"/>
  <c r="S36" i="1"/>
  <c r="R36" i="1"/>
  <c r="T35" i="1"/>
  <c r="S35" i="1"/>
  <c r="R35" i="1"/>
  <c r="U35" i="1" s="1"/>
  <c r="T34" i="1"/>
  <c r="S34" i="1"/>
  <c r="R34" i="1"/>
  <c r="U34" i="1" s="1"/>
  <c r="T33" i="1"/>
  <c r="U33" i="1" s="1"/>
  <c r="S33" i="1"/>
  <c r="R33" i="1"/>
  <c r="T32" i="1"/>
  <c r="S32" i="1"/>
  <c r="R32" i="1"/>
  <c r="V32" i="1" s="1"/>
  <c r="T31" i="1"/>
  <c r="S31" i="1"/>
  <c r="R31" i="1"/>
  <c r="T30" i="1"/>
  <c r="S30" i="1"/>
  <c r="R30" i="1"/>
  <c r="V30" i="1" s="1"/>
  <c r="T29" i="1"/>
  <c r="S29" i="1"/>
  <c r="V29" i="1" s="1"/>
  <c r="R29" i="1"/>
  <c r="T28" i="1"/>
  <c r="S28" i="1"/>
  <c r="R28" i="1"/>
  <c r="V28" i="1" s="1"/>
  <c r="T27" i="1"/>
  <c r="S27" i="1"/>
  <c r="R27" i="1"/>
  <c r="V27" i="1" s="1"/>
  <c r="T26" i="1"/>
  <c r="S26" i="1"/>
  <c r="R26" i="1"/>
  <c r="T25" i="1"/>
  <c r="S25" i="1"/>
  <c r="R25" i="1"/>
  <c r="V25" i="1" s="1"/>
  <c r="T24" i="1"/>
  <c r="S24" i="1"/>
  <c r="R24" i="1"/>
  <c r="T23" i="1"/>
  <c r="S23" i="1"/>
  <c r="R23" i="1"/>
  <c r="V23" i="1" s="1"/>
  <c r="T22" i="1"/>
  <c r="S22" i="1"/>
  <c r="R22" i="1"/>
  <c r="U22" i="1" s="1"/>
  <c r="T21" i="1"/>
  <c r="S21" i="1"/>
  <c r="R21" i="1"/>
  <c r="U21" i="1" s="1"/>
  <c r="T20" i="1"/>
  <c r="S20" i="1"/>
  <c r="V20" i="1" s="1"/>
  <c r="R20" i="1"/>
  <c r="T19" i="1"/>
  <c r="S19" i="1"/>
  <c r="R19" i="1"/>
  <c r="U19" i="1" s="1"/>
  <c r="T18" i="1"/>
  <c r="S18" i="1"/>
  <c r="R18" i="1"/>
  <c r="V18" i="1" s="1"/>
  <c r="T17" i="1"/>
  <c r="S17" i="1"/>
  <c r="R17" i="1"/>
  <c r="U17" i="1" s="1"/>
  <c r="T16" i="1"/>
  <c r="S16" i="1"/>
  <c r="R16" i="1"/>
  <c r="T15" i="1"/>
  <c r="S15" i="1"/>
  <c r="R15" i="1"/>
  <c r="V15" i="1" s="1"/>
  <c r="T14" i="1"/>
  <c r="S14" i="1"/>
  <c r="R14" i="1"/>
  <c r="V14" i="1" s="1"/>
  <c r="T13" i="1"/>
  <c r="U13" i="1" s="1"/>
  <c r="S13" i="1"/>
  <c r="R13" i="1"/>
  <c r="T12" i="1"/>
  <c r="S12" i="1"/>
  <c r="R12" i="1"/>
  <c r="V12" i="1" s="1"/>
  <c r="T11" i="1"/>
  <c r="S11" i="1"/>
  <c r="R11" i="1"/>
  <c r="T10" i="1"/>
  <c r="S10" i="1"/>
  <c r="R10" i="1"/>
  <c r="V10" i="1" s="1"/>
  <c r="T9" i="1"/>
  <c r="S9" i="1"/>
  <c r="U9" i="1" s="1"/>
  <c r="R9" i="1"/>
  <c r="T8" i="1"/>
  <c r="S8" i="1"/>
  <c r="R8" i="1"/>
  <c r="U8" i="1" s="1"/>
  <c r="T7" i="1"/>
  <c r="S7" i="1"/>
  <c r="R7" i="1"/>
  <c r="V7" i="1" s="1"/>
  <c r="T6" i="1"/>
  <c r="S6" i="1"/>
  <c r="R6" i="1"/>
  <c r="U6" i="1" s="1"/>
  <c r="T5" i="1"/>
  <c r="S5" i="1"/>
  <c r="R5" i="1"/>
  <c r="V5" i="1" s="1"/>
  <c r="T4" i="1"/>
  <c r="S4" i="1"/>
  <c r="R4" i="1"/>
  <c r="T3" i="1"/>
  <c r="S3" i="1"/>
  <c r="R3" i="1"/>
  <c r="V3" i="1" s="1"/>
  <c r="T2" i="1"/>
  <c r="S2" i="1"/>
  <c r="R2" i="1"/>
  <c r="V2" i="1" s="1"/>
  <c r="U14" i="1"/>
  <c r="U15" i="1"/>
  <c r="U32" i="1"/>
  <c r="U37" i="1"/>
  <c r="V8" i="1"/>
  <c r="V9" i="1"/>
  <c r="V19" i="1"/>
  <c r="V21" i="1"/>
  <c r="V22" i="1"/>
  <c r="V35" i="1"/>
  <c r="V3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  <c r="V44" i="1" l="1"/>
  <c r="U44" i="1"/>
  <c r="U42" i="1"/>
  <c r="V42" i="1"/>
  <c r="U41" i="1"/>
  <c r="V46" i="1"/>
  <c r="U46" i="1"/>
  <c r="U43" i="1"/>
  <c r="V43" i="1"/>
  <c r="V41" i="1"/>
  <c r="V40" i="1"/>
  <c r="V34" i="1"/>
  <c r="U29" i="1"/>
  <c r="U28" i="1"/>
  <c r="U27" i="1"/>
  <c r="V6" i="1"/>
  <c r="V13" i="1"/>
  <c r="V26" i="1"/>
  <c r="V33" i="1"/>
  <c r="U18" i="1"/>
  <c r="U20" i="1"/>
  <c r="U7" i="1"/>
  <c r="U3" i="1"/>
  <c r="V16" i="1"/>
  <c r="U23" i="1"/>
  <c r="V36" i="1"/>
  <c r="U2" i="1"/>
  <c r="V4" i="1"/>
  <c r="V24" i="1"/>
  <c r="U11" i="1"/>
  <c r="V31" i="1"/>
  <c r="U16" i="1"/>
  <c r="U12" i="1"/>
  <c r="U30" i="1"/>
  <c r="U10" i="1"/>
  <c r="U36" i="1"/>
  <c r="V17" i="1"/>
  <c r="U31" i="1"/>
  <c r="V11" i="1"/>
  <c r="U26" i="1"/>
  <c r="U25" i="1"/>
  <c r="U5" i="1"/>
  <c r="U24" i="1"/>
  <c r="U4" i="1"/>
  <c r="L3" i="2"/>
  <c r="M3" i="2"/>
  <c r="N3" i="2"/>
  <c r="L4" i="2"/>
  <c r="M4" i="2"/>
  <c r="N4" i="2"/>
  <c r="L5" i="2"/>
  <c r="M5" i="2"/>
  <c r="N5" i="2"/>
  <c r="L6" i="2"/>
  <c r="M6" i="2"/>
  <c r="N6" i="2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L36" i="2"/>
  <c r="M36" i="2"/>
  <c r="N36" i="2"/>
  <c r="L37" i="2"/>
  <c r="M37" i="2"/>
  <c r="N37" i="2"/>
  <c r="N2" i="2"/>
  <c r="M2" i="2"/>
  <c r="L2" i="2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O37" i="1"/>
  <c r="O2" i="1"/>
  <c r="N2" i="1"/>
  <c r="M2" i="1"/>
  <c r="P29" i="1" l="1"/>
  <c r="Q29" i="1"/>
  <c r="P9" i="1"/>
  <c r="Q9" i="1"/>
  <c r="Q22" i="1"/>
  <c r="P22" i="1"/>
  <c r="P35" i="1"/>
  <c r="Q35" i="1"/>
  <c r="P15" i="1"/>
  <c r="Q15" i="1"/>
  <c r="P28" i="1"/>
  <c r="Q28" i="1"/>
  <c r="P8" i="1"/>
  <c r="Q8" i="1"/>
  <c r="P21" i="1"/>
  <c r="Q21" i="1"/>
  <c r="P34" i="1"/>
  <c r="Q34" i="1"/>
  <c r="P14" i="1"/>
  <c r="Q14" i="1"/>
  <c r="Q27" i="1"/>
  <c r="P27" i="1"/>
  <c r="P7" i="1"/>
  <c r="Q7" i="1"/>
  <c r="P20" i="1"/>
  <c r="Q20" i="1"/>
  <c r="Q33" i="1"/>
  <c r="P33" i="1"/>
  <c r="P13" i="1"/>
  <c r="Q13" i="1"/>
  <c r="Q26" i="1"/>
  <c r="P26" i="1"/>
  <c r="P6" i="1"/>
  <c r="Q6" i="1"/>
  <c r="P19" i="1"/>
  <c r="Q19" i="1"/>
  <c r="Q2" i="1"/>
  <c r="P2" i="1"/>
  <c r="P32" i="1"/>
  <c r="Q32" i="1"/>
  <c r="P12" i="1"/>
  <c r="Q12" i="1"/>
  <c r="Q25" i="1"/>
  <c r="P25" i="1"/>
  <c r="Q5" i="1"/>
  <c r="P5" i="1"/>
  <c r="P18" i="1"/>
  <c r="Q18" i="1"/>
  <c r="P31" i="1"/>
  <c r="Q31" i="1"/>
  <c r="P11" i="1"/>
  <c r="Q11" i="1"/>
  <c r="Q24" i="1"/>
  <c r="P24" i="1"/>
  <c r="Q4" i="1"/>
  <c r="P4" i="1"/>
  <c r="P17" i="1"/>
  <c r="Q17" i="1"/>
  <c r="P30" i="1"/>
  <c r="Q30" i="1"/>
  <c r="P10" i="1"/>
  <c r="Q10" i="1"/>
  <c r="Q23" i="1"/>
  <c r="P23" i="1"/>
  <c r="Q3" i="1"/>
  <c r="P3" i="1"/>
  <c r="P36" i="1"/>
  <c r="Q36" i="1"/>
  <c r="P16" i="1"/>
  <c r="Q16" i="1"/>
</calcChain>
</file>

<file path=xl/sharedStrings.xml><?xml version="1.0" encoding="utf-8"?>
<sst xmlns="http://schemas.openxmlformats.org/spreadsheetml/2006/main" count="144" uniqueCount="37">
  <si>
    <t>Consortium</t>
  </si>
  <si>
    <t>Species</t>
  </si>
  <si>
    <t>Bio1_T1</t>
  </si>
  <si>
    <t>Bio1_T2</t>
  </si>
  <si>
    <t>Bio1_T3</t>
  </si>
  <si>
    <t>Bio2_T1</t>
  </si>
  <si>
    <t>Bio2_T2</t>
  </si>
  <si>
    <t>Bio2_T3</t>
  </si>
  <si>
    <t>Bio3_T1</t>
  </si>
  <si>
    <t>Bio3_T2</t>
  </si>
  <si>
    <t>Bio3_T3</t>
  </si>
  <si>
    <t>BOV</t>
  </si>
  <si>
    <t>LB</t>
  </si>
  <si>
    <t>LJ</t>
  </si>
  <si>
    <t>FP</t>
  </si>
  <si>
    <t>BA</t>
  </si>
  <si>
    <t>EC</t>
  </si>
  <si>
    <t>AM</t>
  </si>
  <si>
    <t>BOB</t>
  </si>
  <si>
    <t>BT</t>
  </si>
  <si>
    <t>Avg_Bio1</t>
  </si>
  <si>
    <t>Avg_Bio2</t>
  </si>
  <si>
    <t>Avg_Bio3</t>
  </si>
  <si>
    <t>Y = -2.536*X + 23.01</t>
  </si>
  <si>
    <t>Y = -4.708*X + 16.81</t>
  </si>
  <si>
    <t>Y = -2.274*X + 22.44</t>
  </si>
  <si>
    <t>Y = -3.937*X + 16.98</t>
  </si>
  <si>
    <t>Y = -4.402*X + 24.11</t>
  </si>
  <si>
    <t>Y = -2.401*X + 10.82</t>
  </si>
  <si>
    <t>Y = -4.826*X + 20.31</t>
  </si>
  <si>
    <t>equation</t>
  </si>
  <si>
    <t>Y = -2.665*X + 14.77</t>
  </si>
  <si>
    <t>Y = -5.763*X + 35.92</t>
  </si>
  <si>
    <t>Std Post Invasion</t>
  </si>
  <si>
    <t>Avg Post Invasion</t>
  </si>
  <si>
    <t>Avg Pre Invasion</t>
  </si>
  <si>
    <t>Std Pre Invasion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</si>
</sst>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2" fontId="0" fillId="0" borderId="0" xfId="0" applyNumberFormat="1"/>
    <xf numFmtId="2" fontId="0" fillId="0" borderId="1" xfId="0" applyNumberFormat="1" applyBorder="1"/>
    <xf numFmtId="2" fontId="0" fillId="2" borderId="0" xfId="0" applyNumberFormat="1" applyFill="1"/>
    <xf numFmtId="2" fontId="0" fillId="2" borderId="4" xfId="0" applyNumberFormat="1" applyFill="1" applyBorder="1"/>
    <xf numFmtId="2" fontId="0" fillId="0" borderId="4" xfId="0" applyNumberFormat="1" applyBorder="1"/>
    <xf numFmtId="2" fontId="0" fillId="0" borderId="5" xfId="0" applyNumberFormat="1" applyBorder="1"/>
    <xf numFmtId="0" fontId="2" fillId="0" borderId="0" xfId="1"/>
    <xf numFmtId="0" fontId="1" fillId="0" borderId="0" xfId="2"/>
  </cellXfs>
  <cellStyles count="3">
    <cellStyle name="Normal" xfId="0" builtinId="0"/>
    <cellStyle name="Normal 2" xfId="1" xr:uid="{433A0B67-4D9A-416B-AF56-0AC63CDBCD37}"/>
    <cellStyle name="Normal 3" xfId="2" xr:uid="{F495A13E-D8F5-4F5C-B522-E3A790E47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B9C1-DB40-FD40-B9F5-F88F482D7E01}">
  <dimension ref="A1:V58"/>
  <sheetViews>
    <sheetView tabSelected="1" topLeftCell="I23" workbookViewId="0">
      <selection activeCell="A38" sqref="A38:B46"/>
    </sheetView>
  </sheetViews>
  <sheetFormatPr defaultColWidth="10.796875" defaultRowHeight="15.6" x14ac:dyDescent="0.6"/>
  <cols>
    <col min="3" max="3" width="17.19921875" bestFit="1" customWidth="1"/>
  </cols>
  <sheetData>
    <row r="1" spans="1:22" x14ac:dyDescent="0.6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20</v>
      </c>
      <c r="N1" t="s">
        <v>21</v>
      </c>
      <c r="O1" t="s">
        <v>22</v>
      </c>
      <c r="P1" s="6" t="s">
        <v>34</v>
      </c>
      <c r="Q1" s="6" t="s">
        <v>33</v>
      </c>
      <c r="R1" t="s">
        <v>20</v>
      </c>
      <c r="S1" t="s">
        <v>21</v>
      </c>
      <c r="T1" t="s">
        <v>22</v>
      </c>
      <c r="U1" s="6" t="s">
        <v>35</v>
      </c>
      <c r="V1" s="6" t="s">
        <v>36</v>
      </c>
    </row>
    <row r="2" spans="1:22" x14ac:dyDescent="0.6">
      <c r="A2">
        <v>1</v>
      </c>
      <c r="B2" t="s">
        <v>11</v>
      </c>
      <c r="C2" t="str">
        <f t="shared" ref="C2:C36" si="0">_xlfn.XLOOKUP(B2,A$50:A$58, B$50:B$58)</f>
        <v>Y = -2.401*X + 10.82</v>
      </c>
      <c r="D2" s="7">
        <v>10.2257</v>
      </c>
      <c r="E2" s="7">
        <v>10.3088</v>
      </c>
      <c r="F2" s="7">
        <v>10.2104</v>
      </c>
      <c r="G2" s="7">
        <v>10.2601</v>
      </c>
      <c r="H2" s="7">
        <v>10.306900000000001</v>
      </c>
      <c r="I2" s="7">
        <v>10.2483</v>
      </c>
      <c r="J2" s="7">
        <v>10.241199999999999</v>
      </c>
      <c r="K2" s="7">
        <v>10.2575</v>
      </c>
      <c r="L2" s="7">
        <v>10.1983</v>
      </c>
      <c r="M2" s="8">
        <f>AVERAGE(D2:F2)</f>
        <v>10.2483</v>
      </c>
      <c r="N2" s="7">
        <f>AVERAGE(G2:I2)</f>
        <v>10.271766666666666</v>
      </c>
      <c r="O2" s="7">
        <f>AVERAGE(J2:L2)</f>
        <v>10.232333333333333</v>
      </c>
      <c r="P2" s="9">
        <f>AVERAGE(M2:O2)</f>
        <v>10.2508</v>
      </c>
      <c r="Q2" s="9">
        <f>_xlfn.STDEV.P(M2:O2)</f>
        <v>1.6195358274197789E-2</v>
      </c>
      <c r="R2" s="7">
        <f>'Pre invasion'!L2</f>
        <v>10.834466666666666</v>
      </c>
      <c r="S2" s="7">
        <f>'Pre invasion'!M2</f>
        <v>10.910933333333332</v>
      </c>
      <c r="T2" s="7">
        <f>'Pre invasion'!N2</f>
        <v>10.828499999999998</v>
      </c>
      <c r="U2" s="9">
        <f>IFERROR(AVERAGE(R2:T2),"")</f>
        <v>10.857966666666664</v>
      </c>
      <c r="V2" s="9">
        <f>IFERROR(_xlfn.STDEV.P(R2:T2),"")</f>
        <v>3.7532218258549889E-2</v>
      </c>
    </row>
    <row r="3" spans="1:22" x14ac:dyDescent="0.6">
      <c r="A3">
        <v>1</v>
      </c>
      <c r="B3" t="s">
        <v>12</v>
      </c>
      <c r="C3" t="str">
        <f t="shared" si="0"/>
        <v>Y = -4.402*X + 24.11</v>
      </c>
      <c r="D3" s="7">
        <v>16.635200000000001</v>
      </c>
      <c r="E3" s="7">
        <v>16.7498</v>
      </c>
      <c r="F3" s="7">
        <v>16.618099999999998</v>
      </c>
      <c r="G3" s="7">
        <v>16.772500000000001</v>
      </c>
      <c r="H3" s="7">
        <v>16.8947</v>
      </c>
      <c r="I3" s="7">
        <v>16.710799999999999</v>
      </c>
      <c r="J3" s="7">
        <v>16.6783</v>
      </c>
      <c r="K3" s="7">
        <v>16.7255</v>
      </c>
      <c r="L3" s="7">
        <v>16.576599999999999</v>
      </c>
      <c r="M3" s="8">
        <f t="shared" ref="M3:M46" si="1">AVERAGE(D3:F3)</f>
        <v>16.6677</v>
      </c>
      <c r="N3" s="7">
        <f t="shared" ref="N3:N46" si="2">AVERAGE(G3:I3)</f>
        <v>16.792666666666666</v>
      </c>
      <c r="O3" s="7">
        <f t="shared" ref="O3:O37" si="3">AVERAGE(J3:L3)</f>
        <v>16.660133333333334</v>
      </c>
      <c r="P3" s="9">
        <f t="shared" ref="P3:P36" si="4">AVERAGE(M3:O3)</f>
        <v>16.706833333333332</v>
      </c>
      <c r="Q3" s="9">
        <f t="shared" ref="Q3:Q36" si="5">_xlfn.STDEV.P(M3:O3)</f>
        <v>6.0771892869671808E-2</v>
      </c>
      <c r="R3" s="7">
        <f>'Pre invasion'!L3</f>
        <v>20.630133333333333</v>
      </c>
      <c r="S3" s="7">
        <f>'Pre invasion'!M3</f>
        <v>20.722333333333335</v>
      </c>
      <c r="T3" s="7">
        <f>'Pre invasion'!N3</f>
        <v>20.605933333333336</v>
      </c>
      <c r="U3" s="9">
        <f t="shared" ref="U3:U37" si="6">IFERROR(AVERAGE(R3:T3),"")</f>
        <v>20.652800000000003</v>
      </c>
      <c r="V3" s="9">
        <f t="shared" ref="V3:V37" si="7">IFERROR(_xlfn.STDEV.P(R3:T3),"")</f>
        <v>5.0150263098899861E-2</v>
      </c>
    </row>
    <row r="4" spans="1:22" x14ac:dyDescent="0.6">
      <c r="A4">
        <v>1</v>
      </c>
      <c r="B4" t="s">
        <v>13</v>
      </c>
      <c r="C4" t="str">
        <f t="shared" si="0"/>
        <v>Y = -3.937*X + 16.98</v>
      </c>
      <c r="D4" s="7">
        <v>12.2721</v>
      </c>
      <c r="E4" s="7">
        <v>12.323499999999999</v>
      </c>
      <c r="F4" s="7">
        <v>12.255800000000001</v>
      </c>
      <c r="G4" s="7">
        <v>12.301500000000001</v>
      </c>
      <c r="H4" s="7">
        <v>12.4833</v>
      </c>
      <c r="I4" s="7">
        <v>12.297000000000001</v>
      </c>
      <c r="J4" s="7">
        <v>12.2803</v>
      </c>
      <c r="K4" s="7">
        <v>12.2963</v>
      </c>
      <c r="L4" s="7">
        <v>12.233599999999999</v>
      </c>
      <c r="M4" s="8">
        <f t="shared" si="1"/>
        <v>12.283799999999999</v>
      </c>
      <c r="N4" s="7">
        <f t="shared" si="2"/>
        <v>12.3606</v>
      </c>
      <c r="O4" s="7">
        <f t="shared" si="3"/>
        <v>12.270066666666665</v>
      </c>
      <c r="P4" s="9">
        <f t="shared" si="4"/>
        <v>12.304822222222221</v>
      </c>
      <c r="Q4" s="9">
        <f t="shared" si="5"/>
        <v>3.9837348317724369E-2</v>
      </c>
      <c r="R4" s="7">
        <f>'Pre invasion'!L4</f>
        <v>13.866833333333334</v>
      </c>
      <c r="S4" s="7">
        <f>'Pre invasion'!M4</f>
        <v>13.925033333333333</v>
      </c>
      <c r="T4" s="7">
        <f>'Pre invasion'!N4</f>
        <v>13.855399999999998</v>
      </c>
      <c r="U4" s="9">
        <f t="shared" si="6"/>
        <v>13.882422222222223</v>
      </c>
      <c r="V4" s="9">
        <f t="shared" si="7"/>
        <v>3.0490002409209738E-2</v>
      </c>
    </row>
    <row r="5" spans="1:22" x14ac:dyDescent="0.6">
      <c r="A5">
        <v>2</v>
      </c>
      <c r="B5" t="s">
        <v>11</v>
      </c>
      <c r="C5" t="str">
        <f t="shared" si="0"/>
        <v>Y = -2.401*X + 10.82</v>
      </c>
      <c r="D5" s="7">
        <v>10.2942</v>
      </c>
      <c r="E5" s="7">
        <v>10.3025</v>
      </c>
      <c r="F5" s="7">
        <v>10.2895</v>
      </c>
      <c r="G5" s="7">
        <v>10.348800000000001</v>
      </c>
      <c r="H5" s="7">
        <v>10.3832</v>
      </c>
      <c r="I5" s="7">
        <v>10.3109</v>
      </c>
      <c r="J5" s="7">
        <v>10.2921</v>
      </c>
      <c r="K5" s="7">
        <v>10.3385</v>
      </c>
      <c r="L5" s="7">
        <v>10.2583</v>
      </c>
      <c r="M5" s="8">
        <f t="shared" si="1"/>
        <v>10.295399999999999</v>
      </c>
      <c r="N5" s="7">
        <f t="shared" si="2"/>
        <v>10.347633333333333</v>
      </c>
      <c r="O5" s="7">
        <f t="shared" si="3"/>
        <v>10.2963</v>
      </c>
      <c r="P5" s="9">
        <f t="shared" si="4"/>
        <v>10.313111111111111</v>
      </c>
      <c r="Q5" s="9">
        <f t="shared" si="5"/>
        <v>2.4413662436845403E-2</v>
      </c>
      <c r="R5" s="7">
        <f>'Pre invasion'!L5</f>
        <v>10.844966666666666</v>
      </c>
      <c r="S5" s="7">
        <f>'Pre invasion'!M5</f>
        <v>10.918066666666666</v>
      </c>
      <c r="T5" s="7">
        <f>'Pre invasion'!N5</f>
        <v>10.825533333333334</v>
      </c>
      <c r="U5" s="9">
        <f t="shared" si="6"/>
        <v>10.862855555555555</v>
      </c>
      <c r="V5" s="9">
        <f t="shared" si="7"/>
        <v>3.9838119966548437E-2</v>
      </c>
    </row>
    <row r="6" spans="1:22" x14ac:dyDescent="0.6">
      <c r="A6">
        <v>2</v>
      </c>
      <c r="B6" t="s">
        <v>14</v>
      </c>
      <c r="C6" t="str">
        <f t="shared" si="0"/>
        <v>Y = -2.274*X + 22.44</v>
      </c>
      <c r="D6" s="7">
        <v>19.488800000000001</v>
      </c>
      <c r="E6" s="7">
        <v>19.489599999999999</v>
      </c>
      <c r="F6" s="7">
        <v>19.4787</v>
      </c>
      <c r="G6" s="7">
        <v>19.626999999999999</v>
      </c>
      <c r="H6" s="7">
        <v>19.8612</v>
      </c>
      <c r="I6" s="7">
        <v>19.508199999999999</v>
      </c>
      <c r="J6" s="7">
        <v>19.531700000000001</v>
      </c>
      <c r="K6" s="7">
        <v>19.502600000000001</v>
      </c>
      <c r="L6" s="7">
        <v>19.428799999999999</v>
      </c>
      <c r="M6" s="8">
        <f t="shared" si="1"/>
        <v>19.485699999999998</v>
      </c>
      <c r="N6" s="7">
        <f t="shared" si="2"/>
        <v>19.665466666666664</v>
      </c>
      <c r="O6" s="7">
        <f t="shared" si="3"/>
        <v>19.4877</v>
      </c>
      <c r="P6" s="9">
        <f t="shared" si="4"/>
        <v>19.546288888888885</v>
      </c>
      <c r="Q6" s="9">
        <f t="shared" si="5"/>
        <v>8.427537021390763E-2</v>
      </c>
      <c r="R6" s="7">
        <f>'Pre invasion'!L6</f>
        <v>20.145500000000002</v>
      </c>
      <c r="S6" s="7">
        <f>'Pre invasion'!M6</f>
        <v>20.288466666666665</v>
      </c>
      <c r="T6" s="7">
        <f>'Pre invasion'!N6</f>
        <v>20.102166666666665</v>
      </c>
      <c r="U6" s="9">
        <f t="shared" si="6"/>
        <v>20.178711111111109</v>
      </c>
      <c r="V6" s="9">
        <f t="shared" si="7"/>
        <v>7.9599647930233691E-2</v>
      </c>
    </row>
    <row r="7" spans="1:22" x14ac:dyDescent="0.6">
      <c r="A7">
        <v>2</v>
      </c>
      <c r="B7" t="s">
        <v>13</v>
      </c>
      <c r="C7" t="str">
        <f t="shared" si="0"/>
        <v>Y = -3.937*X + 16.98</v>
      </c>
      <c r="D7" s="7">
        <v>11.4757</v>
      </c>
      <c r="E7" s="7">
        <v>11.5367</v>
      </c>
      <c r="F7" s="7">
        <v>11.4678</v>
      </c>
      <c r="G7" s="7">
        <v>11.4971</v>
      </c>
      <c r="H7" s="7">
        <v>11.676</v>
      </c>
      <c r="I7" s="7">
        <v>11.474399999999999</v>
      </c>
      <c r="J7" s="7">
        <v>11.4979</v>
      </c>
      <c r="K7" s="7">
        <v>11.4961</v>
      </c>
      <c r="L7" s="7">
        <v>11.418100000000001</v>
      </c>
      <c r="M7" s="8">
        <f t="shared" si="1"/>
        <v>11.493399999999999</v>
      </c>
      <c r="N7" s="7">
        <f t="shared" si="2"/>
        <v>11.549166666666665</v>
      </c>
      <c r="O7" s="7">
        <f t="shared" si="3"/>
        <v>11.470700000000001</v>
      </c>
      <c r="P7" s="9">
        <f t="shared" si="4"/>
        <v>11.504422222222223</v>
      </c>
      <c r="Q7" s="9">
        <f t="shared" si="5"/>
        <v>3.2968383657491898E-2</v>
      </c>
      <c r="R7" s="7">
        <f>'Pre invasion'!L7</f>
        <v>13.378733333333331</v>
      </c>
      <c r="S7" s="7">
        <f>'Pre invasion'!M7</f>
        <v>13.3977</v>
      </c>
      <c r="T7" s="7">
        <f>'Pre invasion'!N7</f>
        <v>13.376199999999999</v>
      </c>
      <c r="U7" s="9">
        <f t="shared" si="6"/>
        <v>13.384211111111108</v>
      </c>
      <c r="V7" s="9">
        <f t="shared" si="7"/>
        <v>9.5939924618503643E-3</v>
      </c>
    </row>
    <row r="8" spans="1:22" x14ac:dyDescent="0.6">
      <c r="A8">
        <v>3</v>
      </c>
      <c r="B8" t="s">
        <v>11</v>
      </c>
      <c r="C8" t="str">
        <f t="shared" si="0"/>
        <v>Y = -2.401*X + 10.82</v>
      </c>
      <c r="D8" s="7">
        <v>10.175000000000001</v>
      </c>
      <c r="E8" s="7">
        <v>10.2027</v>
      </c>
      <c r="F8" s="7">
        <v>10.1638</v>
      </c>
      <c r="G8" s="7">
        <v>10.200799999999999</v>
      </c>
      <c r="H8" s="7">
        <v>10.2219</v>
      </c>
      <c r="I8" s="7">
        <v>10.189399999999999</v>
      </c>
      <c r="J8" s="7">
        <v>10.188499999999999</v>
      </c>
      <c r="K8" s="7">
        <v>10.1708</v>
      </c>
      <c r="L8" s="7">
        <v>10.1557</v>
      </c>
      <c r="M8" s="8">
        <f t="shared" si="1"/>
        <v>10.1805</v>
      </c>
      <c r="N8" s="7">
        <f t="shared" si="2"/>
        <v>10.204033333333333</v>
      </c>
      <c r="O8" s="7">
        <f t="shared" si="3"/>
        <v>10.171666666666665</v>
      </c>
      <c r="P8" s="9">
        <f t="shared" si="4"/>
        <v>10.1854</v>
      </c>
      <c r="Q8" s="9">
        <f t="shared" si="5"/>
        <v>1.3660350844147382E-2</v>
      </c>
      <c r="R8" s="7">
        <f>'Pre invasion'!L8</f>
        <v>10.853700000000002</v>
      </c>
      <c r="S8" s="7">
        <f>'Pre invasion'!M8</f>
        <v>10.879033333333332</v>
      </c>
      <c r="T8" s="7">
        <f>'Pre invasion'!N8</f>
        <v>10.8332</v>
      </c>
      <c r="U8" s="9">
        <f t="shared" si="6"/>
        <v>10.855311111111112</v>
      </c>
      <c r="V8" s="9">
        <f t="shared" si="7"/>
        <v>1.8746028385951474E-2</v>
      </c>
    </row>
    <row r="9" spans="1:22" x14ac:dyDescent="0.6">
      <c r="A9">
        <v>3</v>
      </c>
      <c r="B9" t="s">
        <v>15</v>
      </c>
      <c r="C9" t="str">
        <f t="shared" si="0"/>
        <v>Y = -2.665*X + 14.77</v>
      </c>
      <c r="D9" s="7">
        <v>9.9711999999999996</v>
      </c>
      <c r="E9" s="7">
        <v>9.9977999999999998</v>
      </c>
      <c r="F9" s="7">
        <v>9.9695</v>
      </c>
      <c r="G9" s="7">
        <v>10.0524</v>
      </c>
      <c r="H9" s="7">
        <v>10.054500000000001</v>
      </c>
      <c r="I9" s="7">
        <v>10.0191</v>
      </c>
      <c r="J9" s="7">
        <v>9.9970999999999997</v>
      </c>
      <c r="K9" s="7">
        <v>10.045</v>
      </c>
      <c r="L9" s="7">
        <v>9.9472000000000005</v>
      </c>
      <c r="M9" s="8">
        <f t="shared" si="1"/>
        <v>9.9794999999999998</v>
      </c>
      <c r="N9" s="7">
        <f t="shared" si="2"/>
        <v>10.042000000000002</v>
      </c>
      <c r="O9" s="7">
        <f t="shared" si="3"/>
        <v>9.9964333333333339</v>
      </c>
      <c r="P9" s="9">
        <f t="shared" si="4"/>
        <v>10.00597777777778</v>
      </c>
      <c r="Q9" s="9">
        <f t="shared" si="5"/>
        <v>2.639298915513829E-2</v>
      </c>
      <c r="R9" s="7">
        <f>'Pre invasion'!L9</f>
        <v>11.042833333333334</v>
      </c>
      <c r="S9" s="7">
        <f>'Pre invasion'!M9</f>
        <v>11.057299999999998</v>
      </c>
      <c r="T9" s="7">
        <f>'Pre invasion'!N9</f>
        <v>11.050266666666666</v>
      </c>
      <c r="U9" s="9">
        <f t="shared" si="6"/>
        <v>11.050133333333333</v>
      </c>
      <c r="V9" s="9">
        <f t="shared" si="7"/>
        <v>5.9067444188499879E-3</v>
      </c>
    </row>
    <row r="10" spans="1:22" x14ac:dyDescent="0.6">
      <c r="A10">
        <v>3</v>
      </c>
      <c r="B10" t="s">
        <v>13</v>
      </c>
      <c r="C10" t="str">
        <f t="shared" si="0"/>
        <v>Y = -3.937*X + 16.98</v>
      </c>
      <c r="D10" s="7">
        <v>13.010300000000001</v>
      </c>
      <c r="E10" s="7">
        <v>13.03</v>
      </c>
      <c r="F10" s="7">
        <v>12.9922</v>
      </c>
      <c r="G10" s="7">
        <v>13.084300000000001</v>
      </c>
      <c r="H10" s="7">
        <v>13.1081</v>
      </c>
      <c r="I10" s="7">
        <v>13.0175</v>
      </c>
      <c r="J10" s="7">
        <v>13.0474</v>
      </c>
      <c r="K10" s="7">
        <v>13.008599999999999</v>
      </c>
      <c r="L10" s="7">
        <v>12.977</v>
      </c>
      <c r="M10" s="8">
        <f t="shared" si="1"/>
        <v>13.010833333333332</v>
      </c>
      <c r="N10" s="7">
        <f t="shared" si="2"/>
        <v>13.069966666666666</v>
      </c>
      <c r="O10" s="7">
        <f t="shared" si="3"/>
        <v>13.011000000000001</v>
      </c>
      <c r="P10" s="9">
        <f t="shared" si="4"/>
        <v>13.0306</v>
      </c>
      <c r="Q10" s="9">
        <f t="shared" si="5"/>
        <v>2.7836520110312457E-2</v>
      </c>
      <c r="R10" s="7">
        <f>'Pre invasion'!L10</f>
        <v>14.644266666666667</v>
      </c>
      <c r="S10" s="7">
        <f>'Pre invasion'!M10</f>
        <v>14.696266666666666</v>
      </c>
      <c r="T10" s="7">
        <f>'Pre invasion'!N10</f>
        <v>14.631866666666667</v>
      </c>
      <c r="U10" s="9">
        <f t="shared" si="6"/>
        <v>14.657466666666666</v>
      </c>
      <c r="V10" s="9">
        <f t="shared" si="7"/>
        <v>2.7898864970938301E-2</v>
      </c>
    </row>
    <row r="11" spans="1:22" x14ac:dyDescent="0.6">
      <c r="A11">
        <v>4</v>
      </c>
      <c r="B11" t="s">
        <v>16</v>
      </c>
      <c r="C11" t="str">
        <f t="shared" si="0"/>
        <v>Y = -4.708*X + 16.81</v>
      </c>
      <c r="D11" s="7">
        <v>15.8268</v>
      </c>
      <c r="E11" s="7">
        <v>15.9498</v>
      </c>
      <c r="F11" s="7">
        <v>15.8194</v>
      </c>
      <c r="G11" s="7">
        <v>15.869300000000001</v>
      </c>
      <c r="H11" s="7">
        <v>16.065000000000001</v>
      </c>
      <c r="I11" s="7">
        <v>15.8985</v>
      </c>
      <c r="J11" s="7">
        <v>15.859299999999999</v>
      </c>
      <c r="K11" s="7">
        <v>15.8223</v>
      </c>
      <c r="L11" s="7">
        <v>15.8078</v>
      </c>
      <c r="M11" s="8">
        <f t="shared" si="1"/>
        <v>15.865333333333334</v>
      </c>
      <c r="N11" s="7">
        <f t="shared" si="2"/>
        <v>15.944266666666666</v>
      </c>
      <c r="O11" s="7">
        <f t="shared" si="3"/>
        <v>15.829800000000001</v>
      </c>
      <c r="P11" s="9">
        <f t="shared" si="4"/>
        <v>15.879800000000001</v>
      </c>
      <c r="Q11" s="9">
        <f t="shared" si="5"/>
        <v>4.7837347876442587E-2</v>
      </c>
      <c r="R11" s="7">
        <f>'Pre invasion'!L11</f>
        <v>16.861566666666665</v>
      </c>
      <c r="S11" s="7">
        <f>'Pre invasion'!M11</f>
        <v>16.886333333333329</v>
      </c>
      <c r="T11" s="7">
        <f>'Pre invasion'!N11</f>
        <v>16.801066666666667</v>
      </c>
      <c r="U11" s="9">
        <f t="shared" si="6"/>
        <v>16.849655555555554</v>
      </c>
      <c r="V11" s="9">
        <f t="shared" si="7"/>
        <v>3.5814401544972965E-2</v>
      </c>
    </row>
    <row r="12" spans="1:22" x14ac:dyDescent="0.6">
      <c r="A12">
        <v>4</v>
      </c>
      <c r="B12" t="s">
        <v>17</v>
      </c>
      <c r="C12" t="str">
        <f t="shared" si="0"/>
        <v>Y = -2.536*X + 23.01</v>
      </c>
      <c r="D12" s="7">
        <v>20.386199999999999</v>
      </c>
      <c r="E12" s="7">
        <v>20.4726</v>
      </c>
      <c r="F12" s="7">
        <v>20.354199999999999</v>
      </c>
      <c r="G12" s="7">
        <v>20.3748</v>
      </c>
      <c r="H12" s="7">
        <v>20.660299999999999</v>
      </c>
      <c r="I12" s="7">
        <v>20.418099999999999</v>
      </c>
      <c r="J12" s="7">
        <v>20.431799999999999</v>
      </c>
      <c r="K12" s="7">
        <v>20.480699999999999</v>
      </c>
      <c r="L12" s="7">
        <v>20.253699999999998</v>
      </c>
      <c r="M12" s="8">
        <f t="shared" si="1"/>
        <v>20.404333333333334</v>
      </c>
      <c r="N12" s="7">
        <f t="shared" si="2"/>
        <v>20.484399999999997</v>
      </c>
      <c r="O12" s="7">
        <f t="shared" si="3"/>
        <v>20.388733333333331</v>
      </c>
      <c r="P12" s="9">
        <f t="shared" si="4"/>
        <v>20.425822222222223</v>
      </c>
      <c r="Q12" s="9">
        <f t="shared" si="5"/>
        <v>4.1907493657952231E-2</v>
      </c>
      <c r="R12" s="7">
        <f>'Pre invasion'!L12</f>
        <v>21.011433333333333</v>
      </c>
      <c r="S12" s="7">
        <f>'Pre invasion'!M12</f>
        <v>21.120366666666666</v>
      </c>
      <c r="T12" s="7">
        <f>'Pre invasion'!N12</f>
        <v>20.992966666666668</v>
      </c>
      <c r="U12" s="9">
        <f t="shared" si="6"/>
        <v>21.041588888888889</v>
      </c>
      <c r="V12" s="9">
        <f t="shared" si="7"/>
        <v>5.6212146659762874E-2</v>
      </c>
    </row>
    <row r="13" spans="1:22" x14ac:dyDescent="0.6">
      <c r="A13">
        <v>4</v>
      </c>
      <c r="B13" t="s">
        <v>12</v>
      </c>
      <c r="C13" t="str">
        <f t="shared" si="0"/>
        <v>Y = -4.402*X + 24.11</v>
      </c>
      <c r="D13" s="7">
        <v>21.430800000000001</v>
      </c>
      <c r="E13" s="7">
        <v>21.549900000000001</v>
      </c>
      <c r="F13" s="7">
        <v>21.4133</v>
      </c>
      <c r="G13" s="7">
        <v>21.521899999999999</v>
      </c>
      <c r="H13" s="7">
        <v>21.748200000000001</v>
      </c>
      <c r="I13" s="7">
        <v>21.509</v>
      </c>
      <c r="J13" s="7">
        <v>21.4208</v>
      </c>
      <c r="K13" s="7">
        <v>21.477799999999998</v>
      </c>
      <c r="L13" s="7">
        <v>21.3062</v>
      </c>
      <c r="M13" s="8">
        <f t="shared" si="1"/>
        <v>21.46466666666667</v>
      </c>
      <c r="N13" s="7">
        <f t="shared" si="2"/>
        <v>21.593033333333334</v>
      </c>
      <c r="O13" s="7">
        <f t="shared" si="3"/>
        <v>21.401600000000002</v>
      </c>
      <c r="P13" s="9">
        <f t="shared" si="4"/>
        <v>21.486433333333338</v>
      </c>
      <c r="Q13" s="9">
        <f t="shared" si="5"/>
        <v>7.9653504259013394E-2</v>
      </c>
      <c r="R13" s="7">
        <f>'Pre invasion'!L13</f>
        <v>21.927699999999998</v>
      </c>
      <c r="S13" s="7">
        <f>'Pre invasion'!M13</f>
        <v>22.023333333333337</v>
      </c>
      <c r="T13" s="7">
        <f>'Pre invasion'!N13</f>
        <v>21.902833333333334</v>
      </c>
      <c r="U13" s="9">
        <f t="shared" si="6"/>
        <v>21.951288888888893</v>
      </c>
      <c r="V13" s="9">
        <f t="shared" si="7"/>
        <v>5.1944773617497254E-2</v>
      </c>
    </row>
    <row r="14" spans="1:22" x14ac:dyDescent="0.6">
      <c r="A14">
        <v>5</v>
      </c>
      <c r="B14" t="s">
        <v>16</v>
      </c>
      <c r="C14" t="str">
        <f t="shared" si="0"/>
        <v>Y = -4.708*X + 16.81</v>
      </c>
      <c r="D14" s="7">
        <v>15.825699999999999</v>
      </c>
      <c r="E14" s="7">
        <v>15.8972</v>
      </c>
      <c r="F14" s="7">
        <v>15.808</v>
      </c>
      <c r="G14" s="7">
        <v>15.839700000000001</v>
      </c>
      <c r="H14" s="7">
        <v>15.839600000000001</v>
      </c>
      <c r="I14" s="7">
        <v>15.834199999999999</v>
      </c>
      <c r="J14" s="7">
        <v>15.827999999999999</v>
      </c>
      <c r="K14" s="7">
        <v>15.918100000000001</v>
      </c>
      <c r="L14" s="7">
        <v>15.726900000000001</v>
      </c>
      <c r="M14" s="8">
        <f t="shared" si="1"/>
        <v>15.843633333333335</v>
      </c>
      <c r="N14" s="7">
        <f t="shared" si="2"/>
        <v>15.837833333333334</v>
      </c>
      <c r="O14" s="7">
        <f t="shared" si="3"/>
        <v>15.824333333333334</v>
      </c>
      <c r="P14" s="9">
        <f t="shared" si="4"/>
        <v>15.835266666666667</v>
      </c>
      <c r="Q14" s="9">
        <f t="shared" si="5"/>
        <v>8.0855151694597133E-3</v>
      </c>
      <c r="R14" s="7">
        <f>'Pre invasion'!L14</f>
        <v>16.864999999999998</v>
      </c>
      <c r="S14" s="7">
        <f>'Pre invasion'!M14</f>
        <v>16.944233333333333</v>
      </c>
      <c r="T14" s="7">
        <f>'Pre invasion'!N14</f>
        <v>16.817266666666669</v>
      </c>
      <c r="U14" s="9">
        <f t="shared" si="6"/>
        <v>16.875499999999999</v>
      </c>
      <c r="V14" s="9">
        <f t="shared" si="7"/>
        <v>5.236297108396986E-2</v>
      </c>
    </row>
    <row r="15" spans="1:22" x14ac:dyDescent="0.6">
      <c r="A15">
        <v>5</v>
      </c>
      <c r="B15" t="s">
        <v>17</v>
      </c>
      <c r="C15" t="str">
        <f t="shared" si="0"/>
        <v>Y = -2.536*X + 23.01</v>
      </c>
      <c r="D15" s="7">
        <v>21.407399999999999</v>
      </c>
      <c r="E15" s="7">
        <v>21.543199999999999</v>
      </c>
      <c r="F15" s="7">
        <v>21.376999999999999</v>
      </c>
      <c r="G15" s="7">
        <v>21.715</v>
      </c>
      <c r="H15" s="7">
        <v>21.595400000000001</v>
      </c>
      <c r="I15" s="7">
        <v>21.422899999999998</v>
      </c>
      <c r="J15" s="7">
        <v>21.4634</v>
      </c>
      <c r="K15" s="7">
        <v>21.531300000000002</v>
      </c>
      <c r="L15" s="7">
        <v>21.264500000000002</v>
      </c>
      <c r="M15" s="8">
        <f t="shared" si="1"/>
        <v>21.44253333333333</v>
      </c>
      <c r="N15" s="7">
        <f t="shared" si="2"/>
        <v>21.577766666666665</v>
      </c>
      <c r="O15" s="7">
        <f t="shared" si="3"/>
        <v>21.419733333333337</v>
      </c>
      <c r="P15" s="9">
        <f t="shared" si="4"/>
        <v>21.480011111111111</v>
      </c>
      <c r="Q15" s="9">
        <f t="shared" si="5"/>
        <v>6.9747504048442613E-2</v>
      </c>
      <c r="R15" s="7">
        <f>'Pre invasion'!L15</f>
        <v>21.676599999999997</v>
      </c>
      <c r="S15" s="7">
        <f>'Pre invasion'!M15</f>
        <v>21.813666666666666</v>
      </c>
      <c r="T15" s="7">
        <f>'Pre invasion'!N15</f>
        <v>21.679833333333335</v>
      </c>
      <c r="U15" s="9">
        <f t="shared" si="6"/>
        <v>21.723366666666664</v>
      </c>
      <c r="V15" s="9">
        <f t="shared" si="7"/>
        <v>6.3865385048611764E-2</v>
      </c>
    </row>
    <row r="16" spans="1:22" x14ac:dyDescent="0.6">
      <c r="A16">
        <v>5</v>
      </c>
      <c r="B16" t="s">
        <v>14</v>
      </c>
      <c r="C16" t="str">
        <f t="shared" si="0"/>
        <v>Y = -2.274*X + 22.44</v>
      </c>
      <c r="D16" s="7">
        <v>20.281199999999998</v>
      </c>
      <c r="E16" s="7">
        <v>20.430900000000001</v>
      </c>
      <c r="F16" s="7">
        <v>20.276</v>
      </c>
      <c r="G16" s="7">
        <v>20.333100000000002</v>
      </c>
      <c r="H16" s="7">
        <v>20.3872</v>
      </c>
      <c r="I16" s="7">
        <v>20.281300000000002</v>
      </c>
      <c r="J16" s="7">
        <v>20.337199999999999</v>
      </c>
      <c r="K16" s="7">
        <v>20.384499999999999</v>
      </c>
      <c r="L16" s="7">
        <v>20.1509</v>
      </c>
      <c r="M16" s="7">
        <f t="shared" si="1"/>
        <v>20.329366666666669</v>
      </c>
      <c r="N16" s="7">
        <f t="shared" si="2"/>
        <v>20.333866666666669</v>
      </c>
      <c r="O16" s="7">
        <f t="shared" si="3"/>
        <v>20.290866666666666</v>
      </c>
      <c r="P16" s="9">
        <f t="shared" si="4"/>
        <v>20.318033333333336</v>
      </c>
      <c r="Q16" s="9">
        <f t="shared" si="5"/>
        <v>1.929738036337934E-2</v>
      </c>
      <c r="R16" s="7">
        <f>'Pre invasion'!L16</f>
        <v>20.413466666666665</v>
      </c>
      <c r="S16" s="7">
        <f>'Pre invasion'!M16</f>
        <v>20.504999999999999</v>
      </c>
      <c r="T16" s="7">
        <f>'Pre invasion'!N16</f>
        <v>20.371766666666669</v>
      </c>
      <c r="U16" s="9">
        <f t="shared" si="6"/>
        <v>20.430077777777779</v>
      </c>
      <c r="V16" s="9">
        <f t="shared" si="7"/>
        <v>5.5646066270293428E-2</v>
      </c>
    </row>
    <row r="17" spans="1:22" x14ac:dyDescent="0.6">
      <c r="A17" s="3">
        <v>6</v>
      </c>
      <c r="B17" t="s">
        <v>18</v>
      </c>
      <c r="C17" t="str">
        <f t="shared" si="0"/>
        <v>Y = -5.763*X + 35.92</v>
      </c>
      <c r="D17" s="7">
        <v>31.142900000000001</v>
      </c>
      <c r="E17" s="7">
        <v>31.3292</v>
      </c>
      <c r="F17" s="7">
        <v>31.128900000000002</v>
      </c>
      <c r="G17" s="7">
        <v>31.409600000000001</v>
      </c>
      <c r="H17" s="7">
        <v>31.172999999999998</v>
      </c>
      <c r="I17" s="7">
        <v>31.161100000000001</v>
      </c>
      <c r="J17" s="7">
        <v>31.229900000000001</v>
      </c>
      <c r="K17" s="7">
        <v>31.372399999999999</v>
      </c>
      <c r="L17" s="7">
        <v>30.9651</v>
      </c>
      <c r="M17" s="8">
        <f t="shared" si="1"/>
        <v>31.200333333333333</v>
      </c>
      <c r="N17" s="7">
        <f t="shared" si="2"/>
        <v>31.247900000000001</v>
      </c>
      <c r="O17" s="7">
        <f t="shared" si="3"/>
        <v>31.189133333333331</v>
      </c>
      <c r="P17" s="9">
        <f t="shared" si="4"/>
        <v>31.212455555555554</v>
      </c>
      <c r="Q17" s="9">
        <f t="shared" si="5"/>
        <v>2.5476675365015664E-2</v>
      </c>
      <c r="R17" s="7">
        <f>'Pre invasion'!L17</f>
        <v>32.707866666666668</v>
      </c>
      <c r="S17" s="7">
        <f>'Pre invasion'!M17</f>
        <v>32.805500000000002</v>
      </c>
      <c r="T17" s="7">
        <f>'Pre invasion'!N17</f>
        <v>32.703699999999998</v>
      </c>
      <c r="U17" s="9">
        <f t="shared" si="6"/>
        <v>32.739022222222225</v>
      </c>
      <c r="V17" s="9">
        <f t="shared" si="7"/>
        <v>4.7037654997400161E-2</v>
      </c>
    </row>
    <row r="18" spans="1:22" x14ac:dyDescent="0.6">
      <c r="A18" s="3">
        <v>6</v>
      </c>
      <c r="B18" t="s">
        <v>16</v>
      </c>
      <c r="C18" t="str">
        <f t="shared" si="0"/>
        <v>Y = -4.708*X + 16.81</v>
      </c>
      <c r="D18" s="7">
        <v>15.445399999999999</v>
      </c>
      <c r="E18" s="7">
        <v>15.4938</v>
      </c>
      <c r="F18" s="7">
        <v>15.4392</v>
      </c>
      <c r="G18" s="7">
        <v>15.528600000000001</v>
      </c>
      <c r="H18" s="7">
        <v>15.5891</v>
      </c>
      <c r="I18" s="7">
        <v>15.469799999999999</v>
      </c>
      <c r="J18" s="7">
        <v>15.458</v>
      </c>
      <c r="K18" s="7">
        <v>15.5543</v>
      </c>
      <c r="L18" s="7">
        <v>15.3947</v>
      </c>
      <c r="M18" s="8">
        <f t="shared" si="1"/>
        <v>15.459466666666666</v>
      </c>
      <c r="N18" s="7">
        <f t="shared" si="2"/>
        <v>15.529166666666667</v>
      </c>
      <c r="O18" s="7">
        <f t="shared" si="3"/>
        <v>15.468999999999999</v>
      </c>
      <c r="P18" s="9">
        <f t="shared" si="4"/>
        <v>15.485877777777779</v>
      </c>
      <c r="Q18" s="9">
        <f t="shared" si="5"/>
        <v>3.0856301755471549E-2</v>
      </c>
      <c r="R18" s="7">
        <f>'Pre invasion'!L18</f>
        <v>16.858333333333331</v>
      </c>
      <c r="S18" s="7">
        <f>'Pre invasion'!M18</f>
        <v>16.881333333333334</v>
      </c>
      <c r="T18" s="7">
        <f>'Pre invasion'!N18</f>
        <v>16.8536</v>
      </c>
      <c r="U18" s="9">
        <f t="shared" si="6"/>
        <v>16.86442222222222</v>
      </c>
      <c r="V18" s="9">
        <f t="shared" si="7"/>
        <v>1.2113088523587353E-2</v>
      </c>
    </row>
    <row r="19" spans="1:22" ht="15.9" thickBot="1" x14ac:dyDescent="0.65">
      <c r="A19" s="4">
        <v>6</v>
      </c>
      <c r="B19" s="5" t="s">
        <v>14</v>
      </c>
      <c r="C19" s="5" t="str">
        <f t="shared" si="0"/>
        <v>Y = -2.274*X + 22.44</v>
      </c>
      <c r="D19" s="11">
        <v>20.878399999999999</v>
      </c>
      <c r="E19" s="11">
        <v>20.879300000000001</v>
      </c>
      <c r="F19" s="11">
        <v>20.863399999999999</v>
      </c>
      <c r="G19" s="11">
        <v>21.121400000000001</v>
      </c>
      <c r="H19" s="11">
        <v>20.951000000000001</v>
      </c>
      <c r="I19" s="11">
        <v>20.9239</v>
      </c>
      <c r="J19" s="11">
        <v>20.892499999999998</v>
      </c>
      <c r="K19" s="11">
        <v>20.942699999999999</v>
      </c>
      <c r="L19" s="11">
        <v>20.805800000000001</v>
      </c>
      <c r="M19" s="12">
        <f t="shared" si="1"/>
        <v>20.873699999999999</v>
      </c>
      <c r="N19" s="11">
        <f t="shared" si="2"/>
        <v>20.998766666666668</v>
      </c>
      <c r="O19" s="11">
        <f t="shared" si="3"/>
        <v>20.880333333333336</v>
      </c>
      <c r="P19" s="10">
        <f t="shared" si="4"/>
        <v>20.917600000000004</v>
      </c>
      <c r="Q19" s="10">
        <f t="shared" si="5"/>
        <v>5.7457352944661838E-2</v>
      </c>
      <c r="R19" s="7">
        <f>'Pre invasion'!L19</f>
        <v>21.091733333333334</v>
      </c>
      <c r="S19" s="7">
        <f>'Pre invasion'!M19</f>
        <v>21.216066666666666</v>
      </c>
      <c r="T19" s="7">
        <f>'Pre invasion'!N19</f>
        <v>21.1264</v>
      </c>
      <c r="U19" s="10">
        <f t="shared" si="6"/>
        <v>21.144733333333335</v>
      </c>
      <c r="V19" s="10">
        <f t="shared" si="7"/>
        <v>5.2388152463304936E-2</v>
      </c>
    </row>
    <row r="20" spans="1:22" x14ac:dyDescent="0.6">
      <c r="A20" s="3">
        <v>7</v>
      </c>
      <c r="B20" t="s">
        <v>15</v>
      </c>
      <c r="C20" t="str">
        <f t="shared" si="0"/>
        <v>Y = -2.665*X + 14.77</v>
      </c>
      <c r="D20" s="7">
        <v>10.194699999999999</v>
      </c>
      <c r="E20" s="7">
        <v>10.2333</v>
      </c>
      <c r="F20" s="7">
        <v>10.188599999999999</v>
      </c>
      <c r="G20" s="7">
        <v>10.3651</v>
      </c>
      <c r="H20" s="7">
        <v>10.271599999999999</v>
      </c>
      <c r="I20" s="7">
        <v>10.2401</v>
      </c>
      <c r="J20" s="7">
        <v>10.2249</v>
      </c>
      <c r="K20" s="7">
        <v>10.2591</v>
      </c>
      <c r="L20" s="7">
        <v>10.1671</v>
      </c>
      <c r="M20" s="8">
        <f t="shared" si="1"/>
        <v>10.205533333333333</v>
      </c>
      <c r="N20" s="7">
        <f t="shared" si="2"/>
        <v>10.292266666666665</v>
      </c>
      <c r="O20" s="7">
        <f t="shared" si="3"/>
        <v>10.217033333333333</v>
      </c>
      <c r="P20" s="9">
        <f t="shared" si="4"/>
        <v>10.238277777777776</v>
      </c>
      <c r="Q20" s="9">
        <f t="shared" si="5"/>
        <v>3.8463511649289017E-2</v>
      </c>
      <c r="R20" s="7">
        <f>'Pre invasion'!L20</f>
        <v>11.3576</v>
      </c>
      <c r="S20" s="7">
        <f>'Pre invasion'!M20</f>
        <v>11.410400000000001</v>
      </c>
      <c r="T20" s="7">
        <f>'Pre invasion'!N20</f>
        <v>11.342566666666665</v>
      </c>
      <c r="U20" s="9">
        <f t="shared" si="6"/>
        <v>11.370188888888888</v>
      </c>
      <c r="V20" s="9">
        <f t="shared" si="7"/>
        <v>2.9088375345608063E-2</v>
      </c>
    </row>
    <row r="21" spans="1:22" x14ac:dyDescent="0.6">
      <c r="A21" s="3">
        <v>7</v>
      </c>
      <c r="B21" t="s">
        <v>18</v>
      </c>
      <c r="C21" t="str">
        <f t="shared" si="0"/>
        <v>Y = -5.763*X + 35.92</v>
      </c>
      <c r="D21" s="7">
        <v>33.4467</v>
      </c>
      <c r="E21" s="7">
        <v>33.733699999999999</v>
      </c>
      <c r="F21" s="7">
        <v>33.415199999999999</v>
      </c>
      <c r="G21" s="7">
        <v>33.639499999999998</v>
      </c>
      <c r="H21" s="7">
        <v>33.731000000000002</v>
      </c>
      <c r="I21" s="7">
        <v>33.558100000000003</v>
      </c>
      <c r="J21" s="7">
        <v>33.504399999999997</v>
      </c>
      <c r="K21" s="7">
        <v>33.522500000000001</v>
      </c>
      <c r="L21" s="7">
        <v>33.328600000000002</v>
      </c>
      <c r="M21" s="8">
        <f t="shared" si="1"/>
        <v>33.531866666666666</v>
      </c>
      <c r="N21" s="7">
        <f t="shared" si="2"/>
        <v>33.642866666666663</v>
      </c>
      <c r="O21" s="7">
        <f t="shared" si="3"/>
        <v>33.451833333333333</v>
      </c>
      <c r="P21" s="9">
        <f t="shared" si="4"/>
        <v>33.542188888888887</v>
      </c>
      <c r="Q21" s="9">
        <f t="shared" si="5"/>
        <v>7.832983601333729E-2</v>
      </c>
      <c r="R21" s="7">
        <f>'Pre invasion'!L21</f>
        <v>33.644500000000001</v>
      </c>
      <c r="S21" s="7">
        <f>'Pre invasion'!M21</f>
        <v>33.805666666666667</v>
      </c>
      <c r="T21" s="7">
        <f>'Pre invasion'!N21</f>
        <v>33.567500000000003</v>
      </c>
      <c r="U21" s="9">
        <f t="shared" si="6"/>
        <v>33.672555555555554</v>
      </c>
      <c r="V21" s="9">
        <f t="shared" si="7"/>
        <v>9.9234321770664644E-2</v>
      </c>
    </row>
    <row r="22" spans="1:22" x14ac:dyDescent="0.6">
      <c r="A22" s="3">
        <v>7</v>
      </c>
      <c r="B22" t="s">
        <v>11</v>
      </c>
      <c r="C22" t="str">
        <f t="shared" si="0"/>
        <v>Y = -2.401*X + 10.82</v>
      </c>
      <c r="D22" s="7">
        <v>10.533799999999999</v>
      </c>
      <c r="E22" s="7">
        <v>10.596399999999999</v>
      </c>
      <c r="F22" s="7">
        <v>10.529199999999999</v>
      </c>
      <c r="G22" s="7">
        <v>10.6487</v>
      </c>
      <c r="H22" s="7">
        <v>10.5932</v>
      </c>
      <c r="I22" s="7">
        <v>10.552899999999999</v>
      </c>
      <c r="J22" s="7">
        <v>10.5305</v>
      </c>
      <c r="K22" s="7">
        <v>10.5938</v>
      </c>
      <c r="L22" s="7">
        <v>10.466699999999999</v>
      </c>
      <c r="M22" s="8">
        <f t="shared" si="1"/>
        <v>10.553133333333333</v>
      </c>
      <c r="N22" s="7">
        <f t="shared" si="2"/>
        <v>10.598266666666667</v>
      </c>
      <c r="O22" s="7">
        <f t="shared" si="3"/>
        <v>10.530333333333333</v>
      </c>
      <c r="P22" s="9">
        <f t="shared" si="4"/>
        <v>10.560577777777779</v>
      </c>
      <c r="Q22" s="9">
        <f t="shared" si="5"/>
        <v>2.8228818126863359E-2</v>
      </c>
      <c r="R22" s="7">
        <f>'Pre invasion'!L22</f>
        <v>10.8299</v>
      </c>
      <c r="S22" s="7">
        <f>'Pre invasion'!M22</f>
        <v>10.881866666666667</v>
      </c>
      <c r="T22" s="7">
        <f>'Pre invasion'!N22</f>
        <v>10.805333333333332</v>
      </c>
      <c r="U22" s="9">
        <f t="shared" si="6"/>
        <v>10.839033333333333</v>
      </c>
      <c r="V22" s="9">
        <f t="shared" si="7"/>
        <v>3.1905079126592462E-2</v>
      </c>
    </row>
    <row r="23" spans="1:22" x14ac:dyDescent="0.6">
      <c r="A23" s="3">
        <v>8</v>
      </c>
      <c r="B23" t="s">
        <v>15</v>
      </c>
      <c r="C23" t="str">
        <f t="shared" si="0"/>
        <v>Y = -2.665*X + 14.77</v>
      </c>
      <c r="D23" s="7">
        <v>11.0174</v>
      </c>
      <c r="E23" s="7">
        <v>11.063499999999999</v>
      </c>
      <c r="F23" s="7">
        <v>10.999599999999999</v>
      </c>
      <c r="G23" s="7">
        <v>11.051399999999999</v>
      </c>
      <c r="H23" s="7">
        <v>11.108000000000001</v>
      </c>
      <c r="I23" s="7">
        <v>11.0318</v>
      </c>
      <c r="J23" s="7">
        <v>11.032500000000001</v>
      </c>
      <c r="K23" s="7">
        <v>11.0467</v>
      </c>
      <c r="L23" s="7">
        <v>10.9475</v>
      </c>
      <c r="M23" s="8">
        <f t="shared" si="1"/>
        <v>11.026833333333334</v>
      </c>
      <c r="N23" s="7">
        <f t="shared" si="2"/>
        <v>11.063733333333332</v>
      </c>
      <c r="O23" s="7">
        <f t="shared" si="3"/>
        <v>11.008899999999999</v>
      </c>
      <c r="P23" s="9">
        <f t="shared" si="4"/>
        <v>11.033155555555554</v>
      </c>
      <c r="Q23" s="9">
        <f t="shared" si="5"/>
        <v>2.2827636488570221E-2</v>
      </c>
      <c r="R23" s="7">
        <f>'Pre invasion'!L23</f>
        <v>11.573366666666667</v>
      </c>
      <c r="S23" s="7">
        <f>'Pre invasion'!M23</f>
        <v>11.615833333333335</v>
      </c>
      <c r="T23" s="7">
        <f>'Pre invasion'!N23</f>
        <v>11.551833333333335</v>
      </c>
      <c r="U23" s="9">
        <f t="shared" si="6"/>
        <v>11.580344444444444</v>
      </c>
      <c r="V23" s="9">
        <f t="shared" si="7"/>
        <v>2.6589685181000123E-2</v>
      </c>
    </row>
    <row r="24" spans="1:22" x14ac:dyDescent="0.6">
      <c r="A24" s="3">
        <v>8</v>
      </c>
      <c r="B24" t="s">
        <v>19</v>
      </c>
      <c r="C24" t="str">
        <f t="shared" si="0"/>
        <v>Y = -4.826*X + 20.31</v>
      </c>
      <c r="D24" s="7">
        <v>18.436900000000001</v>
      </c>
      <c r="E24" s="7">
        <v>18.577200000000001</v>
      </c>
      <c r="F24" s="7">
        <v>18.4131</v>
      </c>
      <c r="G24" s="7">
        <v>18.452500000000001</v>
      </c>
      <c r="H24" s="7">
        <v>18.5977</v>
      </c>
      <c r="I24" s="7">
        <v>18.452999999999999</v>
      </c>
      <c r="J24" s="7">
        <v>18.490100000000002</v>
      </c>
      <c r="K24" s="7">
        <v>18.4223</v>
      </c>
      <c r="L24" s="7">
        <v>18.453499999999998</v>
      </c>
      <c r="M24" s="8">
        <f t="shared" si="1"/>
        <v>18.475733333333334</v>
      </c>
      <c r="N24" s="7">
        <f t="shared" si="2"/>
        <v>18.50106666666667</v>
      </c>
      <c r="O24" s="7">
        <f t="shared" si="3"/>
        <v>18.455300000000001</v>
      </c>
      <c r="P24" s="9">
        <f t="shared" si="4"/>
        <v>18.477366666666668</v>
      </c>
      <c r="Q24" s="9">
        <f t="shared" si="5"/>
        <v>1.8719825102064609E-2</v>
      </c>
      <c r="R24" s="7">
        <f>'Pre invasion'!L24</f>
        <v>18.689833333333333</v>
      </c>
      <c r="S24" s="7">
        <f>'Pre invasion'!M24</f>
        <v>18.802300000000002</v>
      </c>
      <c r="T24" s="7">
        <f>'Pre invasion'!N24</f>
        <v>18.708000000000002</v>
      </c>
      <c r="U24" s="9">
        <f t="shared" si="6"/>
        <v>18.733377777777779</v>
      </c>
      <c r="V24" s="9">
        <f t="shared" si="7"/>
        <v>4.9296460193957344E-2</v>
      </c>
    </row>
    <row r="25" spans="1:22" x14ac:dyDescent="0.6">
      <c r="A25" s="3">
        <v>8</v>
      </c>
      <c r="B25" t="s">
        <v>11</v>
      </c>
      <c r="C25" t="str">
        <f t="shared" si="0"/>
        <v>Y = -2.401*X + 10.82</v>
      </c>
      <c r="D25" s="7">
        <v>10.7043</v>
      </c>
      <c r="E25" s="7">
        <v>10.7522</v>
      </c>
      <c r="F25" s="7">
        <v>10.693099999999999</v>
      </c>
      <c r="G25" s="7">
        <v>10.726599999999999</v>
      </c>
      <c r="H25" s="7">
        <v>10.8605</v>
      </c>
      <c r="I25" s="7">
        <v>10.740600000000001</v>
      </c>
      <c r="J25" s="7">
        <v>10.702199999999999</v>
      </c>
      <c r="K25" s="7">
        <v>10.632999999999999</v>
      </c>
      <c r="L25" s="7">
        <v>10.704800000000001</v>
      </c>
      <c r="M25" s="8">
        <f t="shared" si="1"/>
        <v>10.716533333333333</v>
      </c>
      <c r="N25" s="7">
        <f t="shared" si="2"/>
        <v>10.7759</v>
      </c>
      <c r="O25" s="7">
        <f t="shared" si="3"/>
        <v>10.68</v>
      </c>
      <c r="P25" s="9">
        <f t="shared" si="4"/>
        <v>10.724144444444443</v>
      </c>
      <c r="Q25" s="9">
        <f t="shared" si="5"/>
        <v>3.9519187401052668E-2</v>
      </c>
      <c r="R25" s="7">
        <f>'Pre invasion'!L25</f>
        <v>10.838033333333334</v>
      </c>
      <c r="S25" s="7">
        <f>'Pre invasion'!M25</f>
        <v>10.918700000000001</v>
      </c>
      <c r="T25" s="7">
        <f>'Pre invasion'!N25</f>
        <v>10.822166666666668</v>
      </c>
      <c r="U25" s="9">
        <f t="shared" si="6"/>
        <v>10.859633333333335</v>
      </c>
      <c r="V25" s="9">
        <f t="shared" si="7"/>
        <v>4.2265755335425953E-2</v>
      </c>
    </row>
    <row r="26" spans="1:22" x14ac:dyDescent="0.6">
      <c r="A26" s="3">
        <v>9</v>
      </c>
      <c r="B26" t="s">
        <v>18</v>
      </c>
      <c r="C26" t="str">
        <f t="shared" si="0"/>
        <v>Y = -5.763*X + 35.92</v>
      </c>
      <c r="D26" s="7">
        <v>31.964099999999998</v>
      </c>
      <c r="E26" s="7">
        <v>32.0411</v>
      </c>
      <c r="F26" s="7">
        <v>31.924199999999999</v>
      </c>
      <c r="G26" s="7">
        <v>32.1873</v>
      </c>
      <c r="H26" s="7">
        <v>32.116</v>
      </c>
      <c r="I26" s="7">
        <v>31.943100000000001</v>
      </c>
      <c r="J26" s="7">
        <v>31.997699999999998</v>
      </c>
      <c r="K26" s="7">
        <v>31.911000000000001</v>
      </c>
      <c r="L26" s="7">
        <v>31.956299999999999</v>
      </c>
      <c r="M26" s="8">
        <f t="shared" si="1"/>
        <v>31.976466666666667</v>
      </c>
      <c r="N26" s="7">
        <f t="shared" si="2"/>
        <v>32.082133333333338</v>
      </c>
      <c r="O26" s="7">
        <f t="shared" si="3"/>
        <v>31.954999999999998</v>
      </c>
      <c r="P26" s="9">
        <f t="shared" si="4"/>
        <v>32.004533333333335</v>
      </c>
      <c r="Q26" s="9">
        <f t="shared" si="5"/>
        <v>5.5566923281420572E-2</v>
      </c>
      <c r="R26" s="7">
        <f>'Pre invasion'!L26</f>
        <v>33.589500000000001</v>
      </c>
      <c r="S26" s="7">
        <f>'Pre invasion'!M26</f>
        <v>33.8307</v>
      </c>
      <c r="T26" s="7">
        <f>'Pre invasion'!N26</f>
        <v>33.473500000000001</v>
      </c>
      <c r="U26" s="9">
        <f t="shared" si="6"/>
        <v>33.631233333333334</v>
      </c>
      <c r="V26" s="9">
        <f t="shared" si="7"/>
        <v>0.14878219726238109</v>
      </c>
    </row>
    <row r="27" spans="1:22" x14ac:dyDescent="0.6">
      <c r="A27" s="3">
        <v>9</v>
      </c>
      <c r="B27" t="s">
        <v>19</v>
      </c>
      <c r="C27" t="str">
        <f t="shared" si="0"/>
        <v>Y = -4.826*X + 20.31</v>
      </c>
      <c r="D27" s="7">
        <v>16.411999999999999</v>
      </c>
      <c r="E27" s="7">
        <v>16.544</v>
      </c>
      <c r="F27" s="7">
        <v>16.388100000000001</v>
      </c>
      <c r="G27" s="7">
        <v>16.544</v>
      </c>
      <c r="H27" s="7">
        <v>16.722100000000001</v>
      </c>
      <c r="I27" s="7">
        <v>16.473700000000001</v>
      </c>
      <c r="J27" s="7">
        <v>16.4392</v>
      </c>
      <c r="K27" s="7">
        <v>16.321300000000001</v>
      </c>
      <c r="L27" s="7">
        <v>16.4435</v>
      </c>
      <c r="M27" s="8">
        <f t="shared" si="1"/>
        <v>16.448033333333335</v>
      </c>
      <c r="N27" s="7">
        <f t="shared" si="2"/>
        <v>16.579933333333333</v>
      </c>
      <c r="O27" s="7">
        <f t="shared" si="3"/>
        <v>16.401333333333334</v>
      </c>
      <c r="P27" s="9">
        <f t="shared" si="4"/>
        <v>16.476433333333336</v>
      </c>
      <c r="Q27" s="9">
        <f t="shared" si="5"/>
        <v>7.5628081204448139E-2</v>
      </c>
      <c r="R27" s="7">
        <f>'Pre invasion'!L27</f>
        <v>17.097533333333335</v>
      </c>
      <c r="S27" s="7">
        <f>'Pre invasion'!M27</f>
        <v>17.262299999999996</v>
      </c>
      <c r="T27" s="7">
        <f>'Pre invasion'!N27</f>
        <v>17.124866666666666</v>
      </c>
      <c r="U27" s="9">
        <f t="shared" si="6"/>
        <v>17.161566666666662</v>
      </c>
      <c r="V27" s="9">
        <f t="shared" si="7"/>
        <v>7.2097994013290367E-2</v>
      </c>
    </row>
    <row r="28" spans="1:22" x14ac:dyDescent="0.6">
      <c r="A28" s="3">
        <v>9</v>
      </c>
      <c r="B28" t="s">
        <v>11</v>
      </c>
      <c r="C28" t="str">
        <f t="shared" si="0"/>
        <v>Y = -2.401*X + 10.82</v>
      </c>
      <c r="D28" s="7">
        <v>10.5846</v>
      </c>
      <c r="E28" s="7">
        <v>10.6181</v>
      </c>
      <c r="F28" s="7">
        <v>10.571300000000001</v>
      </c>
      <c r="G28" s="7">
        <v>10.608599999999999</v>
      </c>
      <c r="H28" s="7">
        <v>10.6142</v>
      </c>
      <c r="I28" s="7">
        <v>10.6113</v>
      </c>
      <c r="J28" s="7">
        <v>10.593299999999999</v>
      </c>
      <c r="K28" s="7">
        <v>10.575200000000001</v>
      </c>
      <c r="L28" s="7">
        <v>10.630800000000001</v>
      </c>
      <c r="M28" s="8">
        <f t="shared" si="1"/>
        <v>10.591333333333333</v>
      </c>
      <c r="N28" s="7">
        <f t="shared" si="2"/>
        <v>10.611366666666667</v>
      </c>
      <c r="O28" s="7">
        <f t="shared" si="3"/>
        <v>10.599766666666667</v>
      </c>
      <c r="P28" s="9">
        <f t="shared" si="4"/>
        <v>10.600822222222222</v>
      </c>
      <c r="Q28" s="9">
        <f t="shared" si="5"/>
        <v>8.212561892583228E-3</v>
      </c>
      <c r="R28" s="7">
        <f>'Pre invasion'!L28</f>
        <v>10.818133333333334</v>
      </c>
      <c r="S28" s="7">
        <f>'Pre invasion'!M28</f>
        <v>10.888333333333334</v>
      </c>
      <c r="T28" s="7">
        <f>'Pre invasion'!N28</f>
        <v>10.808066666666667</v>
      </c>
      <c r="U28" s="9">
        <f t="shared" si="6"/>
        <v>10.838177777777778</v>
      </c>
      <c r="V28" s="9">
        <f t="shared" si="7"/>
        <v>3.5702654049423806E-2</v>
      </c>
    </row>
    <row r="29" spans="1:22" x14ac:dyDescent="0.6">
      <c r="A29" s="3">
        <v>10</v>
      </c>
      <c r="B29" t="s">
        <v>18</v>
      </c>
      <c r="C29" t="str">
        <f t="shared" si="0"/>
        <v>Y = -5.763*X + 35.92</v>
      </c>
      <c r="D29" s="7">
        <v>31.914100000000001</v>
      </c>
      <c r="E29" s="7">
        <v>32.254600000000003</v>
      </c>
      <c r="F29" s="7">
        <v>31.950299999999999</v>
      </c>
      <c r="G29" s="7">
        <v>32.067599999999999</v>
      </c>
      <c r="H29" s="7">
        <v>31.767600000000002</v>
      </c>
      <c r="I29" s="7">
        <v>31.952999999999999</v>
      </c>
      <c r="J29" s="7">
        <v>32.0304</v>
      </c>
      <c r="K29" s="7">
        <v>32.406500000000001</v>
      </c>
      <c r="L29" s="7">
        <v>32.065199999999997</v>
      </c>
      <c r="M29" s="8">
        <f t="shared" si="1"/>
        <v>32.039666666666669</v>
      </c>
      <c r="N29" s="7">
        <f t="shared" si="2"/>
        <v>31.929400000000001</v>
      </c>
      <c r="O29" s="7">
        <f t="shared" si="3"/>
        <v>32.167366666666673</v>
      </c>
      <c r="P29" s="9">
        <f t="shared" si="4"/>
        <v>32.045477777777784</v>
      </c>
      <c r="Q29" s="9">
        <f t="shared" si="5"/>
        <v>9.7236345640818359E-2</v>
      </c>
      <c r="R29" s="7">
        <f>'Pre invasion'!L29</f>
        <v>33.589500000000001</v>
      </c>
      <c r="S29" s="7">
        <f>'Pre invasion'!M29</f>
        <v>33.8307</v>
      </c>
      <c r="T29" s="7">
        <f>'Pre invasion'!N29</f>
        <v>33.473500000000001</v>
      </c>
      <c r="U29" s="9">
        <f t="shared" si="6"/>
        <v>33.631233333333334</v>
      </c>
      <c r="V29" s="9">
        <f t="shared" si="7"/>
        <v>0.14878219726238109</v>
      </c>
    </row>
    <row r="30" spans="1:22" x14ac:dyDescent="0.6">
      <c r="A30" s="3">
        <v>10</v>
      </c>
      <c r="B30" t="s">
        <v>19</v>
      </c>
      <c r="C30" t="str">
        <f t="shared" si="0"/>
        <v>Y = -4.826*X + 20.31</v>
      </c>
      <c r="D30" s="7">
        <v>16.4102</v>
      </c>
      <c r="E30" s="7">
        <v>16.5456</v>
      </c>
      <c r="F30" s="7">
        <v>16.390799999999999</v>
      </c>
      <c r="G30" s="7">
        <v>16.489999999999998</v>
      </c>
      <c r="H30" s="7">
        <v>16.6221</v>
      </c>
      <c r="I30" s="7">
        <v>16.412199999999999</v>
      </c>
      <c r="J30" s="7">
        <v>16.409700000000001</v>
      </c>
      <c r="K30" s="7">
        <v>16.3415</v>
      </c>
      <c r="L30" s="7">
        <v>16.491299999999999</v>
      </c>
      <c r="M30" s="8">
        <f t="shared" si="1"/>
        <v>16.448866666666664</v>
      </c>
      <c r="N30" s="7">
        <f t="shared" si="2"/>
        <v>16.508099999999999</v>
      </c>
      <c r="O30" s="7">
        <f t="shared" si="3"/>
        <v>16.414166666666663</v>
      </c>
      <c r="P30" s="9">
        <f t="shared" si="4"/>
        <v>16.457044444444438</v>
      </c>
      <c r="Q30" s="9">
        <f t="shared" si="5"/>
        <v>3.8781652146472029E-2</v>
      </c>
      <c r="R30" s="7">
        <f>'Pre invasion'!L30</f>
        <v>17.097533333333335</v>
      </c>
      <c r="S30" s="7">
        <f>'Pre invasion'!M30</f>
        <v>17.262299999999996</v>
      </c>
      <c r="T30" s="7">
        <f>'Pre invasion'!N30</f>
        <v>17.124866666666666</v>
      </c>
      <c r="U30" s="9">
        <f t="shared" si="6"/>
        <v>17.161566666666662</v>
      </c>
      <c r="V30" s="9">
        <f t="shared" si="7"/>
        <v>7.2097994013290367E-2</v>
      </c>
    </row>
    <row r="31" spans="1:22" x14ac:dyDescent="0.6">
      <c r="A31" s="3">
        <v>10</v>
      </c>
      <c r="B31" t="s">
        <v>16</v>
      </c>
      <c r="C31" t="str">
        <f t="shared" si="0"/>
        <v>Y = -4.708*X + 16.81</v>
      </c>
      <c r="D31" s="7">
        <v>16.392700000000001</v>
      </c>
      <c r="E31" s="7">
        <v>16.411999999999999</v>
      </c>
      <c r="F31" s="7">
        <v>16.383700000000001</v>
      </c>
      <c r="G31" s="7">
        <v>16.4222</v>
      </c>
      <c r="H31" s="7">
        <v>16.4968</v>
      </c>
      <c r="I31" s="7">
        <v>16.459700000000002</v>
      </c>
      <c r="J31" s="7">
        <v>16.437799999999999</v>
      </c>
      <c r="K31" s="7">
        <v>16.308399999999999</v>
      </c>
      <c r="L31" s="7">
        <v>16.4785</v>
      </c>
      <c r="M31" s="8">
        <f t="shared" si="1"/>
        <v>16.396133333333335</v>
      </c>
      <c r="N31" s="7">
        <f t="shared" si="2"/>
        <v>16.459566666666664</v>
      </c>
      <c r="O31" s="7">
        <f t="shared" si="3"/>
        <v>16.408233333333332</v>
      </c>
      <c r="P31" s="9">
        <f t="shared" si="4"/>
        <v>16.421311111111109</v>
      </c>
      <c r="Q31" s="9">
        <f t="shared" si="5"/>
        <v>2.7498098699704286E-2</v>
      </c>
      <c r="R31" s="7">
        <f>'Pre invasion'!L31</f>
        <v>16.849266666666665</v>
      </c>
      <c r="S31" s="7">
        <f>'Pre invasion'!M31</f>
        <v>16.904266666666668</v>
      </c>
      <c r="T31" s="7">
        <f>'Pre invasion'!N31</f>
        <v>16.794766666666664</v>
      </c>
      <c r="U31" s="9">
        <f t="shared" si="6"/>
        <v>16.849433333333334</v>
      </c>
      <c r="V31" s="9">
        <f t="shared" si="7"/>
        <v>4.47033431511452E-2</v>
      </c>
    </row>
    <row r="32" spans="1:22" x14ac:dyDescent="0.6">
      <c r="A32" s="3">
        <v>11</v>
      </c>
      <c r="B32" t="s">
        <v>15</v>
      </c>
      <c r="C32" t="str">
        <f t="shared" si="0"/>
        <v>Y = -2.665*X + 14.77</v>
      </c>
      <c r="D32" s="7">
        <v>11.0101</v>
      </c>
      <c r="E32" s="7">
        <v>11.044499999999999</v>
      </c>
      <c r="F32" s="7">
        <v>11.007099999999999</v>
      </c>
      <c r="G32" s="7">
        <v>11.0937</v>
      </c>
      <c r="H32" s="7">
        <v>11.0199</v>
      </c>
      <c r="I32" s="7">
        <v>11.0649</v>
      </c>
      <c r="J32" s="7">
        <v>11.045299999999999</v>
      </c>
      <c r="K32" s="7">
        <v>11.033099999999999</v>
      </c>
      <c r="L32" s="7">
        <v>10.990600000000001</v>
      </c>
      <c r="M32" s="8">
        <f t="shared" si="1"/>
        <v>11.020566666666667</v>
      </c>
      <c r="N32" s="7">
        <f t="shared" si="2"/>
        <v>11.0595</v>
      </c>
      <c r="O32" s="7">
        <f t="shared" si="3"/>
        <v>11.023000000000001</v>
      </c>
      <c r="P32" s="9">
        <f t="shared" si="4"/>
        <v>11.034355555555557</v>
      </c>
      <c r="Q32" s="9">
        <f t="shared" si="5"/>
        <v>1.7807537591191819E-2</v>
      </c>
      <c r="R32" s="7">
        <f>'Pre invasion'!L32</f>
        <v>11.573366666666667</v>
      </c>
      <c r="S32" s="7">
        <f>'Pre invasion'!M32</f>
        <v>11.615833333333335</v>
      </c>
      <c r="T32" s="7">
        <f>'Pre invasion'!N32</f>
        <v>11.551833333333335</v>
      </c>
      <c r="U32" s="9">
        <f t="shared" si="6"/>
        <v>11.580344444444444</v>
      </c>
      <c r="V32" s="9">
        <f t="shared" si="7"/>
        <v>2.6589685181000123E-2</v>
      </c>
    </row>
    <row r="33" spans="1:22" x14ac:dyDescent="0.6">
      <c r="A33" s="3">
        <v>11</v>
      </c>
      <c r="B33" t="s">
        <v>19</v>
      </c>
      <c r="C33" t="str">
        <f t="shared" si="0"/>
        <v>Y = -4.826*X + 20.31</v>
      </c>
      <c r="D33" s="7">
        <v>18.345199999999998</v>
      </c>
      <c r="E33" s="7">
        <v>18.425999999999998</v>
      </c>
      <c r="F33" s="7">
        <v>18.3277</v>
      </c>
      <c r="G33" s="7">
        <v>18.400500000000001</v>
      </c>
      <c r="H33" s="7">
        <v>18.4618</v>
      </c>
      <c r="I33" s="7">
        <v>18.3691</v>
      </c>
      <c r="J33" s="7">
        <v>18.3903</v>
      </c>
      <c r="K33" s="7">
        <v>18.451499999999999</v>
      </c>
      <c r="L33" s="7">
        <v>18.250499999999999</v>
      </c>
      <c r="M33" s="8">
        <f t="shared" si="1"/>
        <v>18.366299999999999</v>
      </c>
      <c r="N33" s="7">
        <f t="shared" si="2"/>
        <v>18.410466666666668</v>
      </c>
      <c r="O33" s="7">
        <f t="shared" si="3"/>
        <v>18.364099999999997</v>
      </c>
      <c r="P33" s="9">
        <f t="shared" si="4"/>
        <v>18.380288888888888</v>
      </c>
      <c r="Q33" s="9">
        <f t="shared" si="5"/>
        <v>2.1357804252057529E-2</v>
      </c>
      <c r="R33" s="7">
        <f>'Pre invasion'!L33</f>
        <v>18.689833333333333</v>
      </c>
      <c r="S33" s="7">
        <f>'Pre invasion'!M33</f>
        <v>18.802300000000002</v>
      </c>
      <c r="T33" s="7">
        <f>'Pre invasion'!N33</f>
        <v>18.708000000000002</v>
      </c>
      <c r="U33" s="9">
        <f t="shared" si="6"/>
        <v>18.733377777777779</v>
      </c>
      <c r="V33" s="9">
        <f t="shared" si="7"/>
        <v>4.9296460193957344E-2</v>
      </c>
    </row>
    <row r="34" spans="1:22" x14ac:dyDescent="0.6">
      <c r="A34" s="3">
        <v>11</v>
      </c>
      <c r="B34" t="s">
        <v>16</v>
      </c>
      <c r="C34" t="str">
        <f t="shared" si="0"/>
        <v>Y = -4.708*X + 16.81</v>
      </c>
      <c r="D34" s="7">
        <v>16.203299999999999</v>
      </c>
      <c r="E34" s="7">
        <v>16.294699999999999</v>
      </c>
      <c r="F34" s="7">
        <v>16.1953</v>
      </c>
      <c r="G34" s="7">
        <v>16.221900000000002</v>
      </c>
      <c r="H34" s="7">
        <v>16.423100000000002</v>
      </c>
      <c r="I34" s="7">
        <v>16.264500000000002</v>
      </c>
      <c r="J34" s="7">
        <v>16.2363</v>
      </c>
      <c r="K34" s="7">
        <v>16.298400000000001</v>
      </c>
      <c r="L34" s="7">
        <v>16.154199999999999</v>
      </c>
      <c r="M34" s="8">
        <f t="shared" si="1"/>
        <v>16.231099999999998</v>
      </c>
      <c r="N34" s="7">
        <f t="shared" si="2"/>
        <v>16.303166666666669</v>
      </c>
      <c r="O34" s="7">
        <f t="shared" si="3"/>
        <v>16.229633333333336</v>
      </c>
      <c r="P34" s="9">
        <f t="shared" si="4"/>
        <v>16.254633333333334</v>
      </c>
      <c r="Q34" s="9">
        <f t="shared" si="5"/>
        <v>3.4323472154501267E-2</v>
      </c>
      <c r="R34" s="7">
        <f>'Pre invasion'!L34</f>
        <v>16.815200000000001</v>
      </c>
      <c r="S34" s="7">
        <f>'Pre invasion'!M34</f>
        <v>16.863266666666664</v>
      </c>
      <c r="T34" s="7">
        <f>'Pre invasion'!N34</f>
        <v>16.865933333333334</v>
      </c>
      <c r="U34" s="9">
        <f t="shared" si="6"/>
        <v>16.848133333333333</v>
      </c>
      <c r="V34" s="9">
        <f t="shared" si="7"/>
        <v>2.3312816376563742E-2</v>
      </c>
    </row>
    <row r="35" spans="1:22" x14ac:dyDescent="0.6">
      <c r="A35" s="3">
        <v>12</v>
      </c>
      <c r="B35" t="s">
        <v>14</v>
      </c>
      <c r="C35" t="str">
        <f t="shared" si="0"/>
        <v>Y = -2.274*X + 22.44</v>
      </c>
      <c r="D35" s="7">
        <v>19.707699999999999</v>
      </c>
      <c r="E35" s="7">
        <v>19.704000000000001</v>
      </c>
      <c r="F35" s="7">
        <v>19.685400000000001</v>
      </c>
      <c r="G35" s="7">
        <v>19.6904</v>
      </c>
      <c r="H35" s="7">
        <v>19.8874</v>
      </c>
      <c r="I35" s="7">
        <v>19.7074</v>
      </c>
      <c r="J35" s="7">
        <v>19.7653</v>
      </c>
      <c r="K35" s="7">
        <v>19.721900000000002</v>
      </c>
      <c r="L35" s="7">
        <v>19.682500000000001</v>
      </c>
      <c r="M35" s="8">
        <f t="shared" si="1"/>
        <v>19.699033333333333</v>
      </c>
      <c r="N35" s="7">
        <f t="shared" si="2"/>
        <v>19.761733333333332</v>
      </c>
      <c r="O35" s="7">
        <f t="shared" si="3"/>
        <v>19.723233333333337</v>
      </c>
      <c r="P35" s="9">
        <f t="shared" si="4"/>
        <v>19.727999999999998</v>
      </c>
      <c r="Q35" s="9">
        <f t="shared" si="5"/>
        <v>2.5818124555349337E-2</v>
      </c>
      <c r="R35" s="7">
        <f>'Pre invasion'!L35</f>
        <v>20.375</v>
      </c>
      <c r="S35" s="7">
        <f>'Pre invasion'!M35</f>
        <v>20.473366666666667</v>
      </c>
      <c r="T35" s="7">
        <f>'Pre invasion'!N35</f>
        <v>20.349266666666669</v>
      </c>
      <c r="U35" s="9">
        <f t="shared" si="6"/>
        <v>20.399211111111111</v>
      </c>
      <c r="V35" s="9">
        <f t="shared" si="7"/>
        <v>5.3477945148293703E-2</v>
      </c>
    </row>
    <row r="36" spans="1:22" x14ac:dyDescent="0.6">
      <c r="A36" s="3">
        <v>12</v>
      </c>
      <c r="B36" t="s">
        <v>19</v>
      </c>
      <c r="C36" t="str">
        <f t="shared" si="0"/>
        <v>Y = -4.826*X + 20.31</v>
      </c>
      <c r="D36" s="7">
        <v>17.376899999999999</v>
      </c>
      <c r="E36" s="7">
        <v>17.531700000000001</v>
      </c>
      <c r="F36" s="7">
        <v>17.355</v>
      </c>
      <c r="G36" s="7">
        <v>17.5059</v>
      </c>
      <c r="H36" s="7">
        <v>17.372399999999999</v>
      </c>
      <c r="I36" s="7">
        <v>17.441700000000001</v>
      </c>
      <c r="J36" s="7">
        <v>17.3843</v>
      </c>
      <c r="K36" s="7">
        <v>17.376000000000001</v>
      </c>
      <c r="L36" s="7">
        <v>17.367100000000001</v>
      </c>
      <c r="M36" s="8">
        <f t="shared" si="1"/>
        <v>17.421199999999999</v>
      </c>
      <c r="N36" s="7">
        <f t="shared" si="2"/>
        <v>17.439999999999998</v>
      </c>
      <c r="O36" s="7">
        <f t="shared" si="3"/>
        <v>17.375800000000002</v>
      </c>
      <c r="P36" s="9">
        <f t="shared" si="4"/>
        <v>17.412333333333333</v>
      </c>
      <c r="Q36" s="9">
        <f t="shared" si="5"/>
        <v>2.6949005341362773E-2</v>
      </c>
      <c r="R36" s="7">
        <f>'Pre invasion'!L36</f>
        <v>18.346599999999999</v>
      </c>
      <c r="S36" s="7">
        <f>'Pre invasion'!M36</f>
        <v>18.420300000000001</v>
      </c>
      <c r="T36" s="7">
        <f>'Pre invasion'!N36</f>
        <v>18.387233333333331</v>
      </c>
      <c r="U36" s="9">
        <f t="shared" si="6"/>
        <v>18.384711111111113</v>
      </c>
      <c r="V36" s="9">
        <f t="shared" si="7"/>
        <v>3.0140711158429152E-2</v>
      </c>
    </row>
    <row r="37" spans="1:22" ht="15.9" thickBot="1" x14ac:dyDescent="0.65">
      <c r="A37" s="4">
        <v>12</v>
      </c>
      <c r="B37" s="5" t="s">
        <v>16</v>
      </c>
      <c r="C37" t="str">
        <f t="shared" ref="C37:C46" si="8">_xlfn.XLOOKUP(B37,A$50:A$58, B$50:B$58)</f>
        <v>Y = -4.708*X + 16.81</v>
      </c>
      <c r="D37" s="11">
        <v>16.255700000000001</v>
      </c>
      <c r="E37" s="11">
        <v>16.3428</v>
      </c>
      <c r="F37" s="11">
        <v>16.2377</v>
      </c>
      <c r="G37" s="11">
        <v>16.310600000000001</v>
      </c>
      <c r="H37" s="11">
        <v>16.2667</v>
      </c>
      <c r="I37" s="11">
        <v>16.309100000000001</v>
      </c>
      <c r="J37" s="11">
        <v>16.310500000000001</v>
      </c>
      <c r="K37" s="11">
        <v>16.334199999999999</v>
      </c>
      <c r="L37" s="11">
        <v>16.2105</v>
      </c>
      <c r="M37" s="8">
        <f t="shared" si="1"/>
        <v>16.278733333333335</v>
      </c>
      <c r="N37" s="7">
        <f t="shared" si="2"/>
        <v>16.295466666666666</v>
      </c>
      <c r="O37" s="11">
        <f t="shared" si="3"/>
        <v>16.285066666666665</v>
      </c>
      <c r="P37" s="9">
        <f t="shared" ref="P37:P45" si="9">AVERAGE(M37:O37)</f>
        <v>16.286422222222225</v>
      </c>
      <c r="Q37" s="9">
        <f t="shared" ref="Q37:Q46" si="10">_xlfn.STDEV.P(M37:O37)</f>
        <v>6.898273178085587E-3</v>
      </c>
      <c r="R37" s="7">
        <f>'Pre invasion'!L37</f>
        <v>16.864999999999998</v>
      </c>
      <c r="S37" s="7">
        <f>'Pre invasion'!M37</f>
        <v>16.864466666666669</v>
      </c>
      <c r="T37" s="7">
        <f>'Pre invasion'!N37</f>
        <v>16.8232</v>
      </c>
      <c r="U37" s="10">
        <f t="shared" si="6"/>
        <v>16.850888888888889</v>
      </c>
      <c r="V37" s="10">
        <f t="shared" si="7"/>
        <v>1.9580211729141993E-2</v>
      </c>
    </row>
    <row r="38" spans="1:22" ht="15.9" thickBot="1" x14ac:dyDescent="0.65">
      <c r="A38" s="3">
        <v>13</v>
      </c>
      <c r="B38" s="13" t="s">
        <v>19</v>
      </c>
      <c r="C38" t="str">
        <f t="shared" si="8"/>
        <v>Y = -4.826*X + 20.31</v>
      </c>
      <c r="D38" s="13">
        <v>15.3446</v>
      </c>
      <c r="E38" s="13">
        <v>15.4636</v>
      </c>
      <c r="F38" s="13">
        <v>15.3329</v>
      </c>
      <c r="G38" s="13">
        <v>15.491899999999999</v>
      </c>
      <c r="H38" s="13">
        <v>15.5404</v>
      </c>
      <c r="I38" s="13">
        <v>15.3712</v>
      </c>
      <c r="M38" s="8">
        <f t="shared" si="1"/>
        <v>15.380366666666667</v>
      </c>
      <c r="N38" s="7">
        <f t="shared" si="2"/>
        <v>15.467833333333333</v>
      </c>
      <c r="P38" s="9">
        <f t="shared" si="9"/>
        <v>15.424099999999999</v>
      </c>
      <c r="Q38" s="9">
        <f t="shared" si="10"/>
        <v>4.3733333333332958E-2</v>
      </c>
      <c r="R38" s="7">
        <f>'Pre invasion'!L38</f>
        <v>16.568933333333334</v>
      </c>
      <c r="S38" s="7">
        <f>'Pre invasion'!M38</f>
        <v>16.706033333333334</v>
      </c>
      <c r="T38" s="7" t="str">
        <f>'Pre invasion'!N38</f>
        <v/>
      </c>
      <c r="U38" s="10">
        <f t="shared" ref="U38:U46" si="11">IFERROR(AVERAGE(R38:T38),"")</f>
        <v>16.637483333333336</v>
      </c>
      <c r="V38" s="10">
        <f t="shared" ref="V38:V46" si="12">IFERROR(_xlfn.STDEV.P(R38:T38),"")</f>
        <v>6.8550000000000111E-2</v>
      </c>
    </row>
    <row r="39" spans="1:22" ht="15.9" thickBot="1" x14ac:dyDescent="0.65">
      <c r="A39" s="3">
        <v>13</v>
      </c>
      <c r="B39" s="13" t="s">
        <v>15</v>
      </c>
      <c r="C39" t="str">
        <f t="shared" si="8"/>
        <v>Y = -2.665*X + 14.77</v>
      </c>
      <c r="D39" s="13">
        <v>12.3902</v>
      </c>
      <c r="E39" s="13">
        <v>12.4482</v>
      </c>
      <c r="F39" s="13">
        <v>12.382199999999999</v>
      </c>
      <c r="G39" s="13">
        <v>12.4558</v>
      </c>
      <c r="H39" s="13">
        <v>12.598599999999999</v>
      </c>
      <c r="I39" s="13">
        <v>12.4193</v>
      </c>
      <c r="M39" s="8">
        <f t="shared" si="1"/>
        <v>12.406866666666666</v>
      </c>
      <c r="N39" s="7">
        <f t="shared" si="2"/>
        <v>12.491233333333334</v>
      </c>
      <c r="P39" s="9">
        <f t="shared" si="9"/>
        <v>12.44905</v>
      </c>
      <c r="Q39" s="9">
        <f t="shared" si="10"/>
        <v>4.2183333333333906E-2</v>
      </c>
      <c r="R39" s="7">
        <f>'Pre invasion'!L39</f>
        <v>12.935066666666666</v>
      </c>
      <c r="S39" s="7">
        <f>'Pre invasion'!M39</f>
        <v>12.9619</v>
      </c>
      <c r="T39" s="7" t="str">
        <f>'Pre invasion'!N39</f>
        <v/>
      </c>
      <c r="U39" s="10">
        <f t="shared" si="11"/>
        <v>12.948483333333332</v>
      </c>
      <c r="V39" s="10">
        <f t="shared" si="12"/>
        <v>1.3416666666667076E-2</v>
      </c>
    </row>
    <row r="40" spans="1:22" ht="15.9" thickBot="1" x14ac:dyDescent="0.65">
      <c r="A40" s="3">
        <v>13</v>
      </c>
      <c r="B40" s="13" t="s">
        <v>16</v>
      </c>
      <c r="C40" t="str">
        <f t="shared" si="8"/>
        <v>Y = -4.708*X + 16.81</v>
      </c>
      <c r="D40" s="13">
        <v>16.722100000000001</v>
      </c>
      <c r="E40" s="13">
        <v>16.829599999999999</v>
      </c>
      <c r="F40" s="13">
        <v>16.710999999999999</v>
      </c>
      <c r="G40" s="13">
        <v>16.798100000000002</v>
      </c>
      <c r="H40" s="13">
        <v>16.880700000000001</v>
      </c>
      <c r="I40" s="13">
        <v>16.793600000000001</v>
      </c>
      <c r="M40" s="8">
        <f t="shared" si="1"/>
        <v>16.754233333333332</v>
      </c>
      <c r="N40" s="7">
        <f t="shared" si="2"/>
        <v>16.824133333333336</v>
      </c>
      <c r="P40" s="9">
        <f t="shared" si="9"/>
        <v>16.789183333333334</v>
      </c>
      <c r="Q40" s="9">
        <f t="shared" si="10"/>
        <v>3.4950000000002035E-2</v>
      </c>
      <c r="R40" s="7">
        <f>'Pre invasion'!L40</f>
        <v>16.840433333333337</v>
      </c>
      <c r="S40" s="7">
        <f>'Pre invasion'!M40</f>
        <v>16.905433333333331</v>
      </c>
      <c r="T40" s="7" t="str">
        <f>'Pre invasion'!N40</f>
        <v/>
      </c>
      <c r="U40" s="10">
        <f t="shared" si="11"/>
        <v>16.872933333333336</v>
      </c>
      <c r="V40" s="10">
        <f t="shared" si="12"/>
        <v>3.2499999999997087E-2</v>
      </c>
    </row>
    <row r="41" spans="1:22" ht="15.9" thickBot="1" x14ac:dyDescent="0.65">
      <c r="A41" s="3">
        <v>14</v>
      </c>
      <c r="B41" s="13" t="s">
        <v>19</v>
      </c>
      <c r="C41" t="str">
        <f t="shared" si="8"/>
        <v>Y = -4.826*X + 20.31</v>
      </c>
      <c r="D41" s="13">
        <v>14.9503</v>
      </c>
      <c r="E41" s="13">
        <v>15.031000000000001</v>
      </c>
      <c r="F41" s="13">
        <v>14.9339</v>
      </c>
      <c r="G41" s="13">
        <v>15.0501</v>
      </c>
      <c r="H41" s="13">
        <v>15.198499999999999</v>
      </c>
      <c r="I41" s="13">
        <v>14.9963</v>
      </c>
      <c r="M41" s="8">
        <f t="shared" si="1"/>
        <v>14.971733333333333</v>
      </c>
      <c r="N41" s="7">
        <f t="shared" si="2"/>
        <v>15.081633333333334</v>
      </c>
      <c r="P41" s="9">
        <f t="shared" si="9"/>
        <v>15.026683333333335</v>
      </c>
      <c r="Q41" s="9">
        <f t="shared" si="10"/>
        <v>5.495000000000072E-2</v>
      </c>
      <c r="R41" s="7">
        <f>'Pre invasion'!L41</f>
        <v>15.921666666666667</v>
      </c>
      <c r="S41" s="7">
        <f>'Pre invasion'!M41</f>
        <v>15.930766666666669</v>
      </c>
      <c r="T41" s="7" t="str">
        <f>'Pre invasion'!N41</f>
        <v/>
      </c>
      <c r="U41" s="10">
        <f t="shared" si="11"/>
        <v>15.926216666666669</v>
      </c>
      <c r="V41" s="10">
        <f t="shared" si="12"/>
        <v>4.5500000000009422E-3</v>
      </c>
    </row>
    <row r="42" spans="1:22" ht="15.9" thickBot="1" x14ac:dyDescent="0.65">
      <c r="A42" s="3">
        <v>14</v>
      </c>
      <c r="B42" s="13" t="s">
        <v>13</v>
      </c>
      <c r="C42" t="str">
        <f t="shared" si="8"/>
        <v>Y = -3.937*X + 16.98</v>
      </c>
      <c r="D42" s="13">
        <v>13.974299999999999</v>
      </c>
      <c r="E42" s="13">
        <v>14.082000000000001</v>
      </c>
      <c r="F42" s="13">
        <v>13.9657</v>
      </c>
      <c r="G42" s="13">
        <v>14.042199999999999</v>
      </c>
      <c r="H42" s="13">
        <v>14.023400000000001</v>
      </c>
      <c r="I42" s="13">
        <v>13.971399999999999</v>
      </c>
      <c r="M42" s="8">
        <f t="shared" si="1"/>
        <v>14.007333333333333</v>
      </c>
      <c r="N42" s="7">
        <f t="shared" si="2"/>
        <v>14.012333333333332</v>
      </c>
      <c r="P42" s="9">
        <f t="shared" si="9"/>
        <v>14.009833333333333</v>
      </c>
      <c r="Q42" s="9">
        <f t="shared" si="10"/>
        <v>2.4999999999995026E-3</v>
      </c>
      <c r="R42" s="7">
        <f>'Pre invasion'!L42</f>
        <v>15.357666666666667</v>
      </c>
      <c r="S42" s="7">
        <f>'Pre invasion'!M42</f>
        <v>15.384566666666666</v>
      </c>
      <c r="T42" s="7" t="str">
        <f>'Pre invasion'!N42</f>
        <v/>
      </c>
      <c r="U42" s="10">
        <f t="shared" si="11"/>
        <v>15.371116666666666</v>
      </c>
      <c r="V42" s="10">
        <f t="shared" si="12"/>
        <v>1.344999999999974E-2</v>
      </c>
    </row>
    <row r="43" spans="1:22" ht="15.9" thickBot="1" x14ac:dyDescent="0.65">
      <c r="A43" s="3">
        <v>14</v>
      </c>
      <c r="B43" s="13" t="s">
        <v>16</v>
      </c>
      <c r="C43" t="str">
        <f t="shared" si="8"/>
        <v>Y = -4.708*X + 16.81</v>
      </c>
      <c r="D43" s="13">
        <v>16.576699999999999</v>
      </c>
      <c r="E43" s="13">
        <v>16.652799999999999</v>
      </c>
      <c r="F43" s="13">
        <v>16.567599999999999</v>
      </c>
      <c r="G43" s="13">
        <v>16.670300000000001</v>
      </c>
      <c r="H43" s="13">
        <v>16.570599999999999</v>
      </c>
      <c r="I43" s="13">
        <v>16.605499999999999</v>
      </c>
      <c r="M43" s="8">
        <f t="shared" si="1"/>
        <v>16.599033333333335</v>
      </c>
      <c r="N43" s="7">
        <f t="shared" si="2"/>
        <v>16.615466666666666</v>
      </c>
      <c r="P43" s="9">
        <f t="shared" si="9"/>
        <v>16.607250000000001</v>
      </c>
      <c r="Q43" s="9">
        <f t="shared" si="10"/>
        <v>8.2166666666658728E-3</v>
      </c>
      <c r="R43" s="7">
        <f>'Pre invasion'!L43</f>
        <v>16.840433333333337</v>
      </c>
      <c r="S43" s="7">
        <f>'Pre invasion'!M43</f>
        <v>16.905433333333331</v>
      </c>
      <c r="T43" s="7" t="str">
        <f>'Pre invasion'!N43</f>
        <v/>
      </c>
      <c r="U43" s="10">
        <f t="shared" si="11"/>
        <v>16.872933333333336</v>
      </c>
      <c r="V43" s="10">
        <f t="shared" si="12"/>
        <v>3.2499999999997087E-2</v>
      </c>
    </row>
    <row r="44" spans="1:22" ht="15.9" thickBot="1" x14ac:dyDescent="0.65">
      <c r="A44" s="3">
        <v>15</v>
      </c>
      <c r="B44" s="13" t="s">
        <v>15</v>
      </c>
      <c r="C44" t="str">
        <f t="shared" si="8"/>
        <v>Y = -2.665*X + 14.77</v>
      </c>
      <c r="D44" s="13">
        <v>12.3949</v>
      </c>
      <c r="E44" s="13">
        <v>12.432600000000001</v>
      </c>
      <c r="F44" s="13">
        <v>12.377700000000001</v>
      </c>
      <c r="G44" s="13">
        <v>12.4664</v>
      </c>
      <c r="H44" s="13">
        <v>12.593500000000001</v>
      </c>
      <c r="I44" s="13">
        <v>12.426500000000001</v>
      </c>
      <c r="M44" s="8">
        <f t="shared" si="1"/>
        <v>12.401733333333334</v>
      </c>
      <c r="N44" s="7">
        <f t="shared" si="2"/>
        <v>12.495466666666667</v>
      </c>
      <c r="P44" s="9">
        <f t="shared" si="9"/>
        <v>12.448600000000001</v>
      </c>
      <c r="Q44" s="9">
        <f t="shared" si="10"/>
        <v>4.686666666666639E-2</v>
      </c>
      <c r="R44" s="7">
        <f>'Pre invasion'!L44</f>
        <v>12.4198</v>
      </c>
      <c r="S44" s="7">
        <f>'Pre invasion'!M44</f>
        <v>12.4946</v>
      </c>
      <c r="T44" s="7" t="str">
        <f>'Pre invasion'!N44</f>
        <v/>
      </c>
      <c r="U44" s="10">
        <f t="shared" si="11"/>
        <v>12.4572</v>
      </c>
      <c r="V44" s="10">
        <f t="shared" si="12"/>
        <v>3.7399999999999878E-2</v>
      </c>
    </row>
    <row r="45" spans="1:22" ht="15.9" thickBot="1" x14ac:dyDescent="0.65">
      <c r="A45" s="3">
        <v>15</v>
      </c>
      <c r="B45" s="13" t="s">
        <v>13</v>
      </c>
      <c r="C45" t="str">
        <f t="shared" si="8"/>
        <v>Y = -3.937*X + 16.98</v>
      </c>
      <c r="D45" s="13">
        <v>13.5571</v>
      </c>
      <c r="E45" s="13">
        <v>13.563499999999999</v>
      </c>
      <c r="F45" s="13">
        <v>13.537100000000001</v>
      </c>
      <c r="G45" s="13">
        <v>13.6736</v>
      </c>
      <c r="H45" s="13">
        <v>13.718299999999999</v>
      </c>
      <c r="I45" s="13">
        <v>13.573700000000001</v>
      </c>
      <c r="M45" s="8">
        <f t="shared" si="1"/>
        <v>13.552566666666666</v>
      </c>
      <c r="N45" s="7">
        <f t="shared" si="2"/>
        <v>13.655200000000001</v>
      </c>
      <c r="P45" s="9">
        <f t="shared" si="9"/>
        <v>13.603883333333332</v>
      </c>
      <c r="Q45" s="9">
        <f t="shared" si="10"/>
        <v>5.1316666666667565E-2</v>
      </c>
      <c r="R45" s="7">
        <f>'Pre invasion'!L45</f>
        <v>14.523833333333334</v>
      </c>
      <c r="S45" s="7">
        <f>'Pre invasion'!M45</f>
        <v>14.601900000000001</v>
      </c>
      <c r="T45" s="7" t="str">
        <f>'Pre invasion'!N45</f>
        <v/>
      </c>
      <c r="U45" s="10">
        <f t="shared" si="11"/>
        <v>14.562866666666668</v>
      </c>
      <c r="V45" s="10">
        <f t="shared" si="12"/>
        <v>3.9033333333333253E-2</v>
      </c>
    </row>
    <row r="46" spans="1:22" ht="15.9" thickBot="1" x14ac:dyDescent="0.65">
      <c r="A46" s="3">
        <v>15</v>
      </c>
      <c r="B46" s="13" t="s">
        <v>16</v>
      </c>
      <c r="C46" t="str">
        <f t="shared" si="8"/>
        <v>Y = -4.708*X + 16.81</v>
      </c>
      <c r="D46" s="13">
        <v>16.281400000000001</v>
      </c>
      <c r="E46" s="13">
        <v>16.2058</v>
      </c>
      <c r="F46" s="13">
        <v>16.265999999999998</v>
      </c>
      <c r="G46" s="13">
        <v>16.651299999999999</v>
      </c>
      <c r="H46" s="13">
        <v>16.8568</v>
      </c>
      <c r="I46" s="13">
        <v>16.616700000000002</v>
      </c>
      <c r="M46" s="8">
        <f t="shared" si="1"/>
        <v>16.251066666666667</v>
      </c>
      <c r="N46" s="7">
        <f t="shared" si="2"/>
        <v>16.708266666666667</v>
      </c>
      <c r="P46" s="9">
        <f>AVERAGE(M46:O46)</f>
        <v>16.479666666666667</v>
      </c>
      <c r="Q46" s="9">
        <f t="shared" si="10"/>
        <v>0.22860000000000014</v>
      </c>
      <c r="R46" s="7">
        <f>'Pre invasion'!L46</f>
        <v>16.840433333333337</v>
      </c>
      <c r="S46" s="7">
        <f>'Pre invasion'!M46</f>
        <v>16.905433333333331</v>
      </c>
      <c r="T46" s="7" t="str">
        <f>'Pre invasion'!N46</f>
        <v/>
      </c>
      <c r="U46" s="10">
        <f t="shared" si="11"/>
        <v>16.872933333333336</v>
      </c>
      <c r="V46" s="10">
        <f t="shared" si="12"/>
        <v>3.2499999999997087E-2</v>
      </c>
    </row>
    <row r="50" spans="1:2" x14ac:dyDescent="0.6">
      <c r="A50" t="s">
        <v>17</v>
      </c>
      <c r="B50" t="s">
        <v>23</v>
      </c>
    </row>
    <row r="51" spans="1:2" x14ac:dyDescent="0.6">
      <c r="A51" t="s">
        <v>16</v>
      </c>
      <c r="B51" t="s">
        <v>24</v>
      </c>
    </row>
    <row r="52" spans="1:2" x14ac:dyDescent="0.6">
      <c r="A52" t="s">
        <v>14</v>
      </c>
      <c r="B52" t="s">
        <v>25</v>
      </c>
    </row>
    <row r="53" spans="1:2" x14ac:dyDescent="0.6">
      <c r="A53" t="s">
        <v>13</v>
      </c>
      <c r="B53" t="s">
        <v>26</v>
      </c>
    </row>
    <row r="54" spans="1:2" x14ac:dyDescent="0.6">
      <c r="A54" t="s">
        <v>12</v>
      </c>
      <c r="B54" t="s">
        <v>27</v>
      </c>
    </row>
    <row r="55" spans="1:2" x14ac:dyDescent="0.6">
      <c r="A55" t="s">
        <v>11</v>
      </c>
      <c r="B55" t="s">
        <v>28</v>
      </c>
    </row>
    <row r="56" spans="1:2" x14ac:dyDescent="0.6">
      <c r="A56" t="s">
        <v>19</v>
      </c>
      <c r="B56" t="s">
        <v>29</v>
      </c>
    </row>
    <row r="57" spans="1:2" x14ac:dyDescent="0.6">
      <c r="A57" t="s">
        <v>15</v>
      </c>
      <c r="B57" t="s">
        <v>31</v>
      </c>
    </row>
    <row r="58" spans="1:2" x14ac:dyDescent="0.6">
      <c r="A58" t="s">
        <v>18</v>
      </c>
      <c r="B58" t="s">
        <v>32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9676-7D93-804A-8E8B-29AA5EADE02C}">
  <dimension ref="A1:N46"/>
  <sheetViews>
    <sheetView topLeftCell="A19" workbookViewId="0">
      <selection activeCell="K43" sqref="K43"/>
    </sheetView>
  </sheetViews>
  <sheetFormatPr defaultColWidth="10.796875" defaultRowHeight="15.6" x14ac:dyDescent="0.6"/>
  <cols>
    <col min="3" max="11" width="12.6484375" bestFit="1" customWidth="1"/>
  </cols>
  <sheetData>
    <row r="1" spans="1:14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20</v>
      </c>
      <c r="M1" t="s">
        <v>21</v>
      </c>
      <c r="N1" t="s">
        <v>22</v>
      </c>
    </row>
    <row r="2" spans="1:14" x14ac:dyDescent="0.6">
      <c r="A2">
        <v>1</v>
      </c>
      <c r="B2" t="s">
        <v>11</v>
      </c>
      <c r="C2">
        <v>10.8249</v>
      </c>
      <c r="D2">
        <v>10.8629</v>
      </c>
      <c r="E2">
        <v>10.8156</v>
      </c>
      <c r="F2">
        <v>10.899699999999999</v>
      </c>
      <c r="G2">
        <v>11.007199999999999</v>
      </c>
      <c r="H2">
        <v>10.825900000000001</v>
      </c>
      <c r="I2">
        <v>10.8469</v>
      </c>
      <c r="J2">
        <v>10.831099999999999</v>
      </c>
      <c r="K2">
        <v>10.807499999999999</v>
      </c>
      <c r="L2" s="2">
        <f>IFERROR(AVERAGE(C2:E2),"")</f>
        <v>10.834466666666666</v>
      </c>
      <c r="M2">
        <f>IFERROR(AVERAGE(F2:H2),"")</f>
        <v>10.910933333333332</v>
      </c>
      <c r="N2">
        <f>IFERROR(AVERAGE(I2:K2),"")</f>
        <v>10.828499999999998</v>
      </c>
    </row>
    <row r="3" spans="1:14" x14ac:dyDescent="0.6">
      <c r="A3">
        <v>1</v>
      </c>
      <c r="B3" t="s">
        <v>12</v>
      </c>
      <c r="C3" s="1">
        <v>20.605699999999999</v>
      </c>
      <c r="D3" s="1">
        <v>20.7058</v>
      </c>
      <c r="E3" s="1">
        <v>20.578900000000001</v>
      </c>
      <c r="F3" s="1">
        <v>20.730899999999998</v>
      </c>
      <c r="G3" s="1">
        <v>20.793099999999999</v>
      </c>
      <c r="H3" s="1">
        <v>20.643000000000001</v>
      </c>
      <c r="I3" s="1">
        <v>20.642900000000001</v>
      </c>
      <c r="J3" s="1">
        <v>20.670300000000001</v>
      </c>
      <c r="K3" s="1">
        <v>20.5046</v>
      </c>
      <c r="L3" s="2">
        <f t="shared" ref="L3:L37" si="0">IFERROR(AVERAGE(C3:E3),"")</f>
        <v>20.630133333333333</v>
      </c>
      <c r="M3">
        <f t="shared" ref="M3:M37" si="1">IFERROR(AVERAGE(F3:H3),"")</f>
        <v>20.722333333333335</v>
      </c>
      <c r="N3">
        <f t="shared" ref="N3:N37" si="2">IFERROR(AVERAGE(I3:K3),"")</f>
        <v>20.605933333333336</v>
      </c>
    </row>
    <row r="4" spans="1:14" x14ac:dyDescent="0.6">
      <c r="A4">
        <v>1</v>
      </c>
      <c r="B4" t="s">
        <v>13</v>
      </c>
      <c r="C4" s="1">
        <v>13.8428</v>
      </c>
      <c r="D4" s="1">
        <v>13.932600000000001</v>
      </c>
      <c r="E4" s="1">
        <v>13.825100000000001</v>
      </c>
      <c r="F4" s="1">
        <v>13.897600000000001</v>
      </c>
      <c r="G4" s="1">
        <v>14.0107</v>
      </c>
      <c r="H4" s="1">
        <v>13.8668</v>
      </c>
      <c r="I4" s="1">
        <v>13.845499999999999</v>
      </c>
      <c r="J4" s="1">
        <v>13.8993</v>
      </c>
      <c r="K4" s="1">
        <v>13.821400000000001</v>
      </c>
      <c r="L4" s="2">
        <f t="shared" si="0"/>
        <v>13.866833333333334</v>
      </c>
      <c r="M4">
        <f t="shared" si="1"/>
        <v>13.925033333333333</v>
      </c>
      <c r="N4">
        <f t="shared" si="2"/>
        <v>13.855399999999998</v>
      </c>
    </row>
    <row r="5" spans="1:14" x14ac:dyDescent="0.6">
      <c r="A5">
        <v>2</v>
      </c>
      <c r="B5" t="s">
        <v>11</v>
      </c>
      <c r="C5" s="1">
        <v>10.821899999999999</v>
      </c>
      <c r="D5" s="1">
        <v>10.899800000000001</v>
      </c>
      <c r="E5" s="1">
        <v>10.8132</v>
      </c>
      <c r="F5" s="1">
        <v>10.9223</v>
      </c>
      <c r="G5" s="1">
        <v>10.960800000000001</v>
      </c>
      <c r="H5" s="1">
        <v>10.8711</v>
      </c>
      <c r="I5" s="1">
        <v>10.821400000000001</v>
      </c>
      <c r="J5" s="1">
        <v>10.838800000000001</v>
      </c>
      <c r="K5" s="1">
        <v>10.8164</v>
      </c>
      <c r="L5" s="2">
        <f t="shared" si="0"/>
        <v>10.844966666666666</v>
      </c>
      <c r="M5">
        <f t="shared" si="1"/>
        <v>10.918066666666666</v>
      </c>
      <c r="N5">
        <f t="shared" si="2"/>
        <v>10.825533333333334</v>
      </c>
    </row>
    <row r="6" spans="1:14" x14ac:dyDescent="0.6">
      <c r="A6">
        <v>2</v>
      </c>
      <c r="B6" t="s">
        <v>14</v>
      </c>
      <c r="C6" s="1">
        <v>20.093599999999999</v>
      </c>
      <c r="D6" s="1">
        <v>20.268599999999999</v>
      </c>
      <c r="E6" s="1">
        <v>20.074300000000001</v>
      </c>
      <c r="F6" s="1">
        <v>20.247599999999998</v>
      </c>
      <c r="G6" s="1">
        <v>20.4711</v>
      </c>
      <c r="H6" s="1">
        <v>20.146699999999999</v>
      </c>
      <c r="I6" s="1">
        <v>20.117899999999999</v>
      </c>
      <c r="J6" s="1">
        <v>20.1403</v>
      </c>
      <c r="K6" s="1">
        <v>20.048300000000001</v>
      </c>
      <c r="L6" s="2">
        <f t="shared" si="0"/>
        <v>20.145500000000002</v>
      </c>
      <c r="M6">
        <f t="shared" si="1"/>
        <v>20.288466666666665</v>
      </c>
      <c r="N6">
        <f t="shared" si="2"/>
        <v>20.102166666666665</v>
      </c>
    </row>
    <row r="7" spans="1:14" x14ac:dyDescent="0.6">
      <c r="A7">
        <v>2</v>
      </c>
      <c r="B7" t="s">
        <v>13</v>
      </c>
      <c r="C7" s="1">
        <v>13.3613</v>
      </c>
      <c r="D7" s="1">
        <v>13.4156</v>
      </c>
      <c r="E7" s="1">
        <v>13.359299999999999</v>
      </c>
      <c r="F7" s="1">
        <v>13.436</v>
      </c>
      <c r="G7" s="1">
        <v>13.380699999999999</v>
      </c>
      <c r="H7" s="1">
        <v>13.3764</v>
      </c>
      <c r="I7" s="1">
        <v>13.4033</v>
      </c>
      <c r="J7" s="1">
        <v>13.383900000000001</v>
      </c>
      <c r="K7" s="1">
        <v>13.3414</v>
      </c>
      <c r="L7" s="2">
        <f t="shared" si="0"/>
        <v>13.378733333333331</v>
      </c>
      <c r="M7">
        <f t="shared" si="1"/>
        <v>13.3977</v>
      </c>
      <c r="N7">
        <f t="shared" si="2"/>
        <v>13.376199999999999</v>
      </c>
    </row>
    <row r="8" spans="1:14" x14ac:dyDescent="0.6">
      <c r="A8">
        <v>3</v>
      </c>
      <c r="B8" t="s">
        <v>11</v>
      </c>
      <c r="C8" s="1">
        <v>10.828799999999999</v>
      </c>
      <c r="D8" s="1">
        <v>10.921900000000001</v>
      </c>
      <c r="E8" s="1">
        <v>10.8104</v>
      </c>
      <c r="F8" s="1">
        <v>10.820399999999999</v>
      </c>
      <c r="G8" s="1">
        <v>10.9697</v>
      </c>
      <c r="H8" s="1">
        <v>10.847</v>
      </c>
      <c r="I8" s="1">
        <v>10.8203</v>
      </c>
      <c r="J8" s="1">
        <v>10.892200000000001</v>
      </c>
      <c r="K8" s="1">
        <v>10.787100000000001</v>
      </c>
      <c r="L8" s="2">
        <f t="shared" si="0"/>
        <v>10.853700000000002</v>
      </c>
      <c r="M8">
        <f t="shared" si="1"/>
        <v>10.879033333333332</v>
      </c>
      <c r="N8">
        <f t="shared" si="2"/>
        <v>10.8332</v>
      </c>
    </row>
    <row r="9" spans="1:14" x14ac:dyDescent="0.6">
      <c r="A9">
        <v>3</v>
      </c>
      <c r="B9" t="s">
        <v>15</v>
      </c>
      <c r="C9" s="1">
        <v>11.0404</v>
      </c>
      <c r="D9" s="1">
        <v>11.0501</v>
      </c>
      <c r="E9" s="1">
        <v>11.038</v>
      </c>
      <c r="F9" s="1">
        <v>11.052</v>
      </c>
      <c r="G9" s="1">
        <v>11.0558</v>
      </c>
      <c r="H9" s="1">
        <v>11.0641</v>
      </c>
      <c r="I9" s="1">
        <v>11.0847</v>
      </c>
      <c r="J9" s="1">
        <v>11.0792</v>
      </c>
      <c r="K9" s="1">
        <v>10.9869</v>
      </c>
      <c r="L9" s="2">
        <f t="shared" si="0"/>
        <v>11.042833333333334</v>
      </c>
      <c r="M9">
        <f t="shared" si="1"/>
        <v>11.057299999999998</v>
      </c>
      <c r="N9">
        <f t="shared" si="2"/>
        <v>11.050266666666666</v>
      </c>
    </row>
    <row r="10" spans="1:14" x14ac:dyDescent="0.6">
      <c r="A10">
        <v>3</v>
      </c>
      <c r="B10" t="s">
        <v>13</v>
      </c>
      <c r="C10" s="1">
        <v>14.626099999999999</v>
      </c>
      <c r="D10" s="1">
        <v>14.6983</v>
      </c>
      <c r="E10" s="1">
        <v>14.6084</v>
      </c>
      <c r="F10" s="1">
        <v>14.7196</v>
      </c>
      <c r="G10" s="1">
        <v>14.7376</v>
      </c>
      <c r="H10" s="1">
        <v>14.631600000000001</v>
      </c>
      <c r="I10" s="1">
        <v>14.642099999999999</v>
      </c>
      <c r="J10" s="1">
        <v>14.709300000000001</v>
      </c>
      <c r="K10" s="1">
        <v>14.5442</v>
      </c>
      <c r="L10" s="2">
        <f t="shared" si="0"/>
        <v>14.644266666666667</v>
      </c>
      <c r="M10">
        <f t="shared" si="1"/>
        <v>14.696266666666666</v>
      </c>
      <c r="N10">
        <f t="shared" si="2"/>
        <v>14.631866666666667</v>
      </c>
    </row>
    <row r="11" spans="1:14" x14ac:dyDescent="0.6">
      <c r="A11">
        <v>4</v>
      </c>
      <c r="B11" t="s">
        <v>16</v>
      </c>
      <c r="C11">
        <v>16.820399999999999</v>
      </c>
      <c r="D11">
        <v>16.959</v>
      </c>
      <c r="E11">
        <v>16.805299999999999</v>
      </c>
      <c r="F11">
        <v>16.829999999999998</v>
      </c>
      <c r="G11">
        <v>16.9434</v>
      </c>
      <c r="H11">
        <v>16.8856</v>
      </c>
      <c r="I11">
        <v>16.811</v>
      </c>
      <c r="J11">
        <v>16.854299999999999</v>
      </c>
      <c r="K11">
        <v>16.7379</v>
      </c>
      <c r="L11" s="2">
        <f t="shared" si="0"/>
        <v>16.861566666666665</v>
      </c>
      <c r="M11">
        <f t="shared" si="1"/>
        <v>16.886333333333329</v>
      </c>
      <c r="N11">
        <f t="shared" si="2"/>
        <v>16.801066666666667</v>
      </c>
    </row>
    <row r="12" spans="1:14" x14ac:dyDescent="0.6">
      <c r="A12">
        <v>4</v>
      </c>
      <c r="B12" t="s">
        <v>17</v>
      </c>
      <c r="C12">
        <v>20.9864</v>
      </c>
      <c r="D12">
        <v>21.072900000000001</v>
      </c>
      <c r="E12">
        <v>20.975000000000001</v>
      </c>
      <c r="F12">
        <v>20.984500000000001</v>
      </c>
      <c r="G12">
        <v>21.3873</v>
      </c>
      <c r="H12">
        <v>20.9893</v>
      </c>
      <c r="I12">
        <v>21.0349</v>
      </c>
      <c r="J12">
        <v>21.053799999999999</v>
      </c>
      <c r="K12">
        <v>20.8902</v>
      </c>
      <c r="L12" s="2">
        <f t="shared" si="0"/>
        <v>21.011433333333333</v>
      </c>
      <c r="M12">
        <f t="shared" si="1"/>
        <v>21.120366666666666</v>
      </c>
      <c r="N12">
        <f t="shared" si="2"/>
        <v>20.992966666666668</v>
      </c>
    </row>
    <row r="13" spans="1:14" x14ac:dyDescent="0.6">
      <c r="A13">
        <v>4</v>
      </c>
      <c r="B13" t="s">
        <v>12</v>
      </c>
      <c r="C13">
        <v>21.9236</v>
      </c>
      <c r="D13">
        <v>21.962</v>
      </c>
      <c r="E13">
        <v>21.897500000000001</v>
      </c>
      <c r="F13">
        <v>22.019600000000001</v>
      </c>
      <c r="G13">
        <v>22.130299999999998</v>
      </c>
      <c r="H13">
        <v>21.920100000000001</v>
      </c>
      <c r="I13">
        <v>21.9223</v>
      </c>
      <c r="J13">
        <v>21.9102</v>
      </c>
      <c r="K13">
        <v>21.876000000000001</v>
      </c>
      <c r="L13" s="2">
        <f t="shared" si="0"/>
        <v>21.927699999999998</v>
      </c>
      <c r="M13">
        <f t="shared" si="1"/>
        <v>22.023333333333337</v>
      </c>
      <c r="N13">
        <f t="shared" si="2"/>
        <v>21.902833333333334</v>
      </c>
    </row>
    <row r="14" spans="1:14" x14ac:dyDescent="0.6">
      <c r="A14">
        <v>5</v>
      </c>
      <c r="B14" t="s">
        <v>16</v>
      </c>
      <c r="C14">
        <v>16.818899999999999</v>
      </c>
      <c r="D14">
        <v>16.975200000000001</v>
      </c>
      <c r="E14">
        <v>16.800899999999999</v>
      </c>
      <c r="F14">
        <v>16.840199999999999</v>
      </c>
      <c r="G14">
        <v>17.128599999999999</v>
      </c>
      <c r="H14">
        <v>16.863900000000001</v>
      </c>
      <c r="I14">
        <v>16.836500000000001</v>
      </c>
      <c r="J14">
        <v>16.907599999999999</v>
      </c>
      <c r="K14">
        <v>16.707699999999999</v>
      </c>
      <c r="L14" s="2">
        <f t="shared" si="0"/>
        <v>16.864999999999998</v>
      </c>
      <c r="M14">
        <f t="shared" si="1"/>
        <v>16.944233333333333</v>
      </c>
      <c r="N14">
        <f t="shared" si="2"/>
        <v>16.817266666666669</v>
      </c>
    </row>
    <row r="15" spans="1:14" x14ac:dyDescent="0.6">
      <c r="A15">
        <v>5</v>
      </c>
      <c r="B15" t="s">
        <v>17</v>
      </c>
      <c r="C15">
        <v>21.6464</v>
      </c>
      <c r="D15">
        <v>21.7624</v>
      </c>
      <c r="E15">
        <v>21.620999999999999</v>
      </c>
      <c r="F15">
        <v>21.721900000000002</v>
      </c>
      <c r="G15">
        <v>22.045100000000001</v>
      </c>
      <c r="H15">
        <v>21.673999999999999</v>
      </c>
      <c r="I15">
        <v>21.729500000000002</v>
      </c>
      <c r="J15">
        <v>21.803999999999998</v>
      </c>
      <c r="K15">
        <v>21.506</v>
      </c>
      <c r="L15" s="2">
        <f t="shared" si="0"/>
        <v>21.676599999999997</v>
      </c>
      <c r="M15">
        <f t="shared" si="1"/>
        <v>21.813666666666666</v>
      </c>
      <c r="N15">
        <f t="shared" si="2"/>
        <v>21.679833333333335</v>
      </c>
    </row>
    <row r="16" spans="1:14" x14ac:dyDescent="0.6">
      <c r="A16">
        <v>5</v>
      </c>
      <c r="B16" t="s">
        <v>14</v>
      </c>
      <c r="C16">
        <v>20.351199999999999</v>
      </c>
      <c r="D16">
        <v>20.5398</v>
      </c>
      <c r="E16">
        <v>20.349399999999999</v>
      </c>
      <c r="F16">
        <v>20.541499999999999</v>
      </c>
      <c r="G16">
        <v>20.532800000000002</v>
      </c>
      <c r="H16">
        <v>20.4407</v>
      </c>
      <c r="I16">
        <v>20.399799999999999</v>
      </c>
      <c r="J16">
        <v>20.423400000000001</v>
      </c>
      <c r="K16">
        <v>20.292100000000001</v>
      </c>
      <c r="L16" s="2">
        <f t="shared" si="0"/>
        <v>20.413466666666665</v>
      </c>
      <c r="M16">
        <f t="shared" si="1"/>
        <v>20.504999999999999</v>
      </c>
      <c r="N16">
        <f t="shared" si="2"/>
        <v>20.371766666666669</v>
      </c>
    </row>
    <row r="17" spans="1:14" x14ac:dyDescent="0.6">
      <c r="A17">
        <v>6</v>
      </c>
      <c r="B17" t="s">
        <v>18</v>
      </c>
      <c r="C17">
        <v>32.704799999999999</v>
      </c>
      <c r="D17">
        <v>32.739600000000003</v>
      </c>
      <c r="E17">
        <v>32.679200000000002</v>
      </c>
      <c r="F17">
        <v>32.850999999999999</v>
      </c>
      <c r="G17">
        <v>32.83</v>
      </c>
      <c r="H17">
        <v>32.735500000000002</v>
      </c>
      <c r="I17">
        <v>32.782600000000002</v>
      </c>
      <c r="J17">
        <v>32.7667</v>
      </c>
      <c r="K17">
        <v>32.561799999999998</v>
      </c>
      <c r="L17" s="2">
        <f t="shared" si="0"/>
        <v>32.707866666666668</v>
      </c>
      <c r="M17">
        <f t="shared" si="1"/>
        <v>32.805500000000002</v>
      </c>
      <c r="N17">
        <f t="shared" si="2"/>
        <v>32.703699999999998</v>
      </c>
    </row>
    <row r="18" spans="1:14" x14ac:dyDescent="0.6">
      <c r="A18">
        <v>6</v>
      </c>
      <c r="B18" t="s">
        <v>16</v>
      </c>
      <c r="C18">
        <v>16.814299999999999</v>
      </c>
      <c r="D18">
        <v>16.956099999999999</v>
      </c>
      <c r="E18">
        <v>16.804600000000001</v>
      </c>
      <c r="F18">
        <v>16.819700000000001</v>
      </c>
      <c r="G18">
        <v>16.944700000000001</v>
      </c>
      <c r="H18">
        <v>16.8796</v>
      </c>
      <c r="I18">
        <v>16.869499999999999</v>
      </c>
      <c r="J18">
        <v>16.917899999999999</v>
      </c>
      <c r="K18">
        <v>16.773399999999999</v>
      </c>
      <c r="L18" s="2">
        <f t="shared" si="0"/>
        <v>16.858333333333331</v>
      </c>
      <c r="M18">
        <f t="shared" si="1"/>
        <v>16.881333333333334</v>
      </c>
      <c r="N18">
        <f t="shared" si="2"/>
        <v>16.8536</v>
      </c>
    </row>
    <row r="19" spans="1:14" x14ac:dyDescent="0.6">
      <c r="A19">
        <v>6</v>
      </c>
      <c r="B19" t="s">
        <v>14</v>
      </c>
      <c r="C19">
        <v>21.069700000000001</v>
      </c>
      <c r="D19">
        <v>21.157399999999999</v>
      </c>
      <c r="E19">
        <v>21.048100000000002</v>
      </c>
      <c r="F19">
        <v>21.226700000000001</v>
      </c>
      <c r="G19">
        <v>21.331600000000002</v>
      </c>
      <c r="H19">
        <v>21.0899</v>
      </c>
      <c r="I19">
        <v>21.1266</v>
      </c>
      <c r="J19">
        <v>21.204799999999999</v>
      </c>
      <c r="K19">
        <v>21.047799999999999</v>
      </c>
      <c r="L19" s="2">
        <f t="shared" si="0"/>
        <v>21.091733333333334</v>
      </c>
      <c r="M19">
        <f t="shared" si="1"/>
        <v>21.216066666666666</v>
      </c>
      <c r="N19">
        <f t="shared" si="2"/>
        <v>21.1264</v>
      </c>
    </row>
    <row r="20" spans="1:14" x14ac:dyDescent="0.6">
      <c r="A20">
        <v>7</v>
      </c>
      <c r="B20" t="s">
        <v>15</v>
      </c>
      <c r="C20">
        <v>11.3314</v>
      </c>
      <c r="D20">
        <v>11.412699999999999</v>
      </c>
      <c r="E20">
        <v>11.3287</v>
      </c>
      <c r="F20">
        <v>11.410600000000001</v>
      </c>
      <c r="G20">
        <v>11.443</v>
      </c>
      <c r="H20">
        <v>11.377599999999999</v>
      </c>
      <c r="I20">
        <v>11.3376</v>
      </c>
      <c r="J20">
        <v>11.3881</v>
      </c>
      <c r="K20">
        <v>11.302</v>
      </c>
      <c r="L20" s="2">
        <f t="shared" si="0"/>
        <v>11.3576</v>
      </c>
      <c r="M20">
        <f t="shared" si="1"/>
        <v>11.410400000000001</v>
      </c>
      <c r="N20">
        <f t="shared" si="2"/>
        <v>11.342566666666665</v>
      </c>
    </row>
    <row r="21" spans="1:14" x14ac:dyDescent="0.6">
      <c r="A21">
        <v>7</v>
      </c>
      <c r="B21" t="s">
        <v>18</v>
      </c>
      <c r="C21">
        <v>33.591999999999999</v>
      </c>
      <c r="D21">
        <v>33.812600000000003</v>
      </c>
      <c r="E21">
        <v>33.5289</v>
      </c>
      <c r="F21">
        <v>33.619</v>
      </c>
      <c r="G21">
        <v>34.131999999999998</v>
      </c>
      <c r="H21">
        <v>33.665999999999997</v>
      </c>
      <c r="I21">
        <v>33.561900000000001</v>
      </c>
      <c r="J21">
        <v>33.612200000000001</v>
      </c>
      <c r="K21">
        <v>33.528399999999998</v>
      </c>
      <c r="L21" s="2">
        <f t="shared" si="0"/>
        <v>33.644500000000001</v>
      </c>
      <c r="M21">
        <f t="shared" si="1"/>
        <v>33.805666666666667</v>
      </c>
      <c r="N21">
        <f t="shared" si="2"/>
        <v>33.567500000000003</v>
      </c>
    </row>
    <row r="22" spans="1:14" x14ac:dyDescent="0.6">
      <c r="A22">
        <v>7</v>
      </c>
      <c r="B22" t="s">
        <v>11</v>
      </c>
      <c r="C22">
        <v>10.8028</v>
      </c>
      <c r="D22">
        <v>10.892099999999999</v>
      </c>
      <c r="E22">
        <v>10.7948</v>
      </c>
      <c r="F22">
        <v>10.8269</v>
      </c>
      <c r="G22">
        <v>11.008599999999999</v>
      </c>
      <c r="H22">
        <v>10.8101</v>
      </c>
      <c r="I22">
        <v>10.8269</v>
      </c>
      <c r="J22">
        <v>10.8124</v>
      </c>
      <c r="K22">
        <v>10.7767</v>
      </c>
      <c r="L22" s="2">
        <f t="shared" si="0"/>
        <v>10.8299</v>
      </c>
      <c r="M22">
        <f t="shared" si="1"/>
        <v>10.881866666666667</v>
      </c>
      <c r="N22">
        <f t="shared" si="2"/>
        <v>10.805333333333332</v>
      </c>
    </row>
    <row r="23" spans="1:14" x14ac:dyDescent="0.6">
      <c r="A23">
        <v>8</v>
      </c>
      <c r="B23" t="s">
        <v>15</v>
      </c>
      <c r="C23">
        <v>11.555999999999999</v>
      </c>
      <c r="D23">
        <v>11.6229</v>
      </c>
      <c r="E23">
        <v>11.5412</v>
      </c>
      <c r="F23">
        <v>11.569800000000001</v>
      </c>
      <c r="G23">
        <v>11.674300000000001</v>
      </c>
      <c r="H23">
        <v>11.603400000000001</v>
      </c>
      <c r="I23">
        <v>11.573</v>
      </c>
      <c r="J23">
        <v>11.5776</v>
      </c>
      <c r="K23">
        <v>11.504899999999999</v>
      </c>
      <c r="L23" s="2">
        <f t="shared" si="0"/>
        <v>11.573366666666667</v>
      </c>
      <c r="M23">
        <f t="shared" si="1"/>
        <v>11.615833333333335</v>
      </c>
      <c r="N23">
        <f t="shared" si="2"/>
        <v>11.551833333333335</v>
      </c>
    </row>
    <row r="24" spans="1:14" x14ac:dyDescent="0.6">
      <c r="A24">
        <v>8</v>
      </c>
      <c r="B24" t="s">
        <v>19</v>
      </c>
      <c r="C24">
        <v>18.686399999999999</v>
      </c>
      <c r="D24">
        <v>18.728999999999999</v>
      </c>
      <c r="E24">
        <v>18.6541</v>
      </c>
      <c r="F24">
        <v>18.694900000000001</v>
      </c>
      <c r="G24">
        <v>19.0398</v>
      </c>
      <c r="H24">
        <v>18.6722</v>
      </c>
      <c r="I24">
        <v>18.725200000000001</v>
      </c>
      <c r="J24">
        <v>18.771000000000001</v>
      </c>
      <c r="K24">
        <v>18.627800000000001</v>
      </c>
      <c r="L24" s="2">
        <f t="shared" si="0"/>
        <v>18.689833333333333</v>
      </c>
      <c r="M24">
        <f t="shared" si="1"/>
        <v>18.802300000000002</v>
      </c>
      <c r="N24">
        <f t="shared" si="2"/>
        <v>18.708000000000002</v>
      </c>
    </row>
    <row r="25" spans="1:14" x14ac:dyDescent="0.6">
      <c r="A25">
        <v>8</v>
      </c>
      <c r="B25" t="s">
        <v>11</v>
      </c>
      <c r="C25">
        <v>10.821400000000001</v>
      </c>
      <c r="D25">
        <v>10.8809</v>
      </c>
      <c r="E25">
        <v>10.8118</v>
      </c>
      <c r="F25">
        <v>10.9129</v>
      </c>
      <c r="G25">
        <v>11.012600000000001</v>
      </c>
      <c r="H25">
        <v>10.8306</v>
      </c>
      <c r="I25">
        <v>10.8323</v>
      </c>
      <c r="J25">
        <v>10.8332</v>
      </c>
      <c r="K25">
        <v>10.801</v>
      </c>
      <c r="L25" s="2">
        <f t="shared" si="0"/>
        <v>10.838033333333334</v>
      </c>
      <c r="M25">
        <f t="shared" si="1"/>
        <v>10.918700000000001</v>
      </c>
      <c r="N25">
        <f t="shared" si="2"/>
        <v>10.822166666666668</v>
      </c>
    </row>
    <row r="26" spans="1:14" x14ac:dyDescent="0.6">
      <c r="A26">
        <v>9</v>
      </c>
      <c r="B26" t="s">
        <v>18</v>
      </c>
      <c r="C26">
        <v>33.519199999999998</v>
      </c>
      <c r="D26">
        <v>33.774900000000002</v>
      </c>
      <c r="E26">
        <v>33.474400000000003</v>
      </c>
      <c r="F26">
        <v>33.824199999999998</v>
      </c>
      <c r="G26">
        <v>34.100200000000001</v>
      </c>
      <c r="H26">
        <v>33.567700000000002</v>
      </c>
      <c r="I26">
        <v>33.580800000000004</v>
      </c>
      <c r="J26">
        <v>33.521700000000003</v>
      </c>
      <c r="K26">
        <v>33.317999999999998</v>
      </c>
      <c r="L26" s="2">
        <f t="shared" si="0"/>
        <v>33.589500000000001</v>
      </c>
      <c r="M26">
        <f t="shared" si="1"/>
        <v>33.8307</v>
      </c>
      <c r="N26">
        <f t="shared" si="2"/>
        <v>33.473500000000001</v>
      </c>
    </row>
    <row r="27" spans="1:14" x14ac:dyDescent="0.6">
      <c r="A27">
        <v>9</v>
      </c>
      <c r="B27" t="s">
        <v>19</v>
      </c>
      <c r="C27">
        <v>17.081399999999999</v>
      </c>
      <c r="D27">
        <v>17.136900000000001</v>
      </c>
      <c r="E27">
        <v>17.074300000000001</v>
      </c>
      <c r="F27">
        <v>17.249099999999999</v>
      </c>
      <c r="G27">
        <v>17.412099999999999</v>
      </c>
      <c r="H27">
        <v>17.125699999999998</v>
      </c>
      <c r="I27">
        <v>17.1341</v>
      </c>
      <c r="J27">
        <v>17.175999999999998</v>
      </c>
      <c r="K27">
        <v>17.064499999999999</v>
      </c>
      <c r="L27" s="2">
        <f t="shared" si="0"/>
        <v>17.097533333333335</v>
      </c>
      <c r="M27">
        <f t="shared" si="1"/>
        <v>17.262299999999996</v>
      </c>
      <c r="N27">
        <f t="shared" si="2"/>
        <v>17.124866666666666</v>
      </c>
    </row>
    <row r="28" spans="1:14" x14ac:dyDescent="0.6">
      <c r="A28">
        <v>9</v>
      </c>
      <c r="B28" t="s">
        <v>11</v>
      </c>
      <c r="C28">
        <v>10.802300000000001</v>
      </c>
      <c r="D28">
        <v>10.8622</v>
      </c>
      <c r="E28">
        <v>10.789899999999999</v>
      </c>
      <c r="F28">
        <v>10.9079</v>
      </c>
      <c r="G28">
        <v>10.9116</v>
      </c>
      <c r="H28">
        <v>10.845499999999999</v>
      </c>
      <c r="I28">
        <v>10.812900000000001</v>
      </c>
      <c r="J28">
        <v>10.876799999999999</v>
      </c>
      <c r="K28">
        <v>10.734500000000001</v>
      </c>
      <c r="L28" s="2">
        <f t="shared" si="0"/>
        <v>10.818133333333334</v>
      </c>
      <c r="M28">
        <f t="shared" si="1"/>
        <v>10.888333333333334</v>
      </c>
      <c r="N28">
        <f t="shared" si="2"/>
        <v>10.808066666666667</v>
      </c>
    </row>
    <row r="29" spans="1:14" x14ac:dyDescent="0.6">
      <c r="A29">
        <v>10</v>
      </c>
      <c r="B29" t="s">
        <v>18</v>
      </c>
      <c r="C29">
        <v>33.519199999999998</v>
      </c>
      <c r="D29">
        <v>33.774900000000002</v>
      </c>
      <c r="E29">
        <v>33.474400000000003</v>
      </c>
      <c r="F29">
        <v>33.824199999999998</v>
      </c>
      <c r="G29">
        <v>34.100200000000001</v>
      </c>
      <c r="H29">
        <v>33.567700000000002</v>
      </c>
      <c r="I29">
        <v>33.580800000000004</v>
      </c>
      <c r="J29">
        <v>33.521700000000003</v>
      </c>
      <c r="K29">
        <v>33.317999999999998</v>
      </c>
      <c r="L29" s="2">
        <f t="shared" si="0"/>
        <v>33.589500000000001</v>
      </c>
      <c r="M29">
        <f t="shared" si="1"/>
        <v>33.8307</v>
      </c>
      <c r="N29">
        <f t="shared" si="2"/>
        <v>33.473500000000001</v>
      </c>
    </row>
    <row r="30" spans="1:14" x14ac:dyDescent="0.6">
      <c r="A30">
        <v>10</v>
      </c>
      <c r="B30" t="s">
        <v>19</v>
      </c>
      <c r="C30">
        <v>17.081399999999999</v>
      </c>
      <c r="D30">
        <v>17.136900000000001</v>
      </c>
      <c r="E30">
        <v>17.074300000000001</v>
      </c>
      <c r="F30">
        <v>17.249099999999999</v>
      </c>
      <c r="G30">
        <v>17.412099999999999</v>
      </c>
      <c r="H30">
        <v>17.125699999999998</v>
      </c>
      <c r="I30">
        <v>17.1341</v>
      </c>
      <c r="J30">
        <v>17.175999999999998</v>
      </c>
      <c r="K30">
        <v>17.064499999999999</v>
      </c>
      <c r="L30" s="2">
        <f t="shared" si="0"/>
        <v>17.097533333333335</v>
      </c>
      <c r="M30">
        <f t="shared" si="1"/>
        <v>17.262299999999996</v>
      </c>
      <c r="N30">
        <f t="shared" si="2"/>
        <v>17.124866666666666</v>
      </c>
    </row>
    <row r="31" spans="1:14" x14ac:dyDescent="0.6">
      <c r="A31">
        <v>10</v>
      </c>
      <c r="B31" t="s">
        <v>16</v>
      </c>
      <c r="C31">
        <v>16.823</v>
      </c>
      <c r="D31">
        <v>16.918299999999999</v>
      </c>
      <c r="E31">
        <v>16.8065</v>
      </c>
      <c r="F31">
        <v>16.926500000000001</v>
      </c>
      <c r="G31">
        <v>16.953199999999999</v>
      </c>
      <c r="H31">
        <v>16.833100000000002</v>
      </c>
      <c r="I31">
        <v>16.851700000000001</v>
      </c>
      <c r="J31">
        <v>16.812999999999999</v>
      </c>
      <c r="K31">
        <v>16.7196</v>
      </c>
      <c r="L31" s="2">
        <f t="shared" si="0"/>
        <v>16.849266666666665</v>
      </c>
      <c r="M31">
        <f t="shared" si="1"/>
        <v>16.904266666666668</v>
      </c>
      <c r="N31">
        <f t="shared" si="2"/>
        <v>16.794766666666664</v>
      </c>
    </row>
    <row r="32" spans="1:14" x14ac:dyDescent="0.6">
      <c r="A32">
        <v>11</v>
      </c>
      <c r="B32" t="s">
        <v>15</v>
      </c>
      <c r="C32">
        <v>11.555999999999999</v>
      </c>
      <c r="D32">
        <v>11.6229</v>
      </c>
      <c r="E32">
        <v>11.5412</v>
      </c>
      <c r="F32">
        <v>11.569800000000001</v>
      </c>
      <c r="G32">
        <v>11.674300000000001</v>
      </c>
      <c r="H32">
        <v>11.603400000000001</v>
      </c>
      <c r="I32">
        <v>11.573</v>
      </c>
      <c r="J32">
        <v>11.5776</v>
      </c>
      <c r="K32">
        <v>11.504899999999999</v>
      </c>
      <c r="L32" s="2">
        <f t="shared" si="0"/>
        <v>11.573366666666667</v>
      </c>
      <c r="M32">
        <f t="shared" si="1"/>
        <v>11.615833333333335</v>
      </c>
      <c r="N32">
        <f t="shared" si="2"/>
        <v>11.551833333333335</v>
      </c>
    </row>
    <row r="33" spans="1:14" x14ac:dyDescent="0.6">
      <c r="A33">
        <v>11</v>
      </c>
      <c r="B33" t="s">
        <v>19</v>
      </c>
      <c r="C33">
        <v>18.686399999999999</v>
      </c>
      <c r="D33">
        <v>18.728999999999999</v>
      </c>
      <c r="E33">
        <v>18.6541</v>
      </c>
      <c r="F33">
        <v>18.694900000000001</v>
      </c>
      <c r="G33">
        <v>19.0398</v>
      </c>
      <c r="H33">
        <v>18.6722</v>
      </c>
      <c r="I33">
        <v>18.725200000000001</v>
      </c>
      <c r="J33">
        <v>18.771000000000001</v>
      </c>
      <c r="K33">
        <v>18.627800000000001</v>
      </c>
      <c r="L33" s="2">
        <f t="shared" si="0"/>
        <v>18.689833333333333</v>
      </c>
      <c r="M33">
        <f t="shared" si="1"/>
        <v>18.802300000000002</v>
      </c>
      <c r="N33">
        <f t="shared" si="2"/>
        <v>18.708000000000002</v>
      </c>
    </row>
    <row r="34" spans="1:14" x14ac:dyDescent="0.6">
      <c r="A34">
        <v>11</v>
      </c>
      <c r="B34" t="s">
        <v>16</v>
      </c>
      <c r="C34">
        <v>16.820900000000002</v>
      </c>
      <c r="D34">
        <v>16.815899999999999</v>
      </c>
      <c r="E34">
        <v>16.808800000000002</v>
      </c>
      <c r="F34">
        <v>16.834099999999999</v>
      </c>
      <c r="G34">
        <v>16.919599999999999</v>
      </c>
      <c r="H34">
        <v>16.836099999999998</v>
      </c>
      <c r="I34">
        <v>16.863499999999998</v>
      </c>
      <c r="J34">
        <v>16.931000000000001</v>
      </c>
      <c r="K34">
        <v>16.8033</v>
      </c>
      <c r="L34" s="2">
        <f t="shared" si="0"/>
        <v>16.815200000000001</v>
      </c>
      <c r="M34">
        <f t="shared" si="1"/>
        <v>16.863266666666664</v>
      </c>
      <c r="N34">
        <f t="shared" si="2"/>
        <v>16.865933333333334</v>
      </c>
    </row>
    <row r="35" spans="1:14" x14ac:dyDescent="0.6">
      <c r="A35">
        <v>12</v>
      </c>
      <c r="B35" t="s">
        <v>14</v>
      </c>
      <c r="C35">
        <v>20.378499999999999</v>
      </c>
      <c r="D35">
        <v>20.388500000000001</v>
      </c>
      <c r="E35">
        <v>20.358000000000001</v>
      </c>
      <c r="F35">
        <v>20.497900000000001</v>
      </c>
      <c r="G35">
        <v>20.524000000000001</v>
      </c>
      <c r="H35">
        <v>20.398199999999999</v>
      </c>
      <c r="I35">
        <v>20.4009</v>
      </c>
      <c r="J35">
        <v>20.375299999999999</v>
      </c>
      <c r="K35">
        <v>20.271599999999999</v>
      </c>
      <c r="L35" s="2">
        <f t="shared" si="0"/>
        <v>20.375</v>
      </c>
      <c r="M35">
        <f t="shared" si="1"/>
        <v>20.473366666666667</v>
      </c>
      <c r="N35">
        <f t="shared" si="2"/>
        <v>20.349266666666669</v>
      </c>
    </row>
    <row r="36" spans="1:14" x14ac:dyDescent="0.6">
      <c r="A36">
        <v>12</v>
      </c>
      <c r="B36" t="s">
        <v>19</v>
      </c>
      <c r="C36">
        <v>18.343299999999999</v>
      </c>
      <c r="D36">
        <v>18.384699999999999</v>
      </c>
      <c r="E36">
        <v>18.311800000000002</v>
      </c>
      <c r="F36">
        <v>18.3537</v>
      </c>
      <c r="G36">
        <v>18.569299999999998</v>
      </c>
      <c r="H36">
        <v>18.337900000000001</v>
      </c>
      <c r="I36">
        <v>18.388500000000001</v>
      </c>
      <c r="J36">
        <v>18.447099999999999</v>
      </c>
      <c r="K36">
        <v>18.3261</v>
      </c>
      <c r="L36" s="2">
        <f t="shared" si="0"/>
        <v>18.346599999999999</v>
      </c>
      <c r="M36">
        <f t="shared" si="1"/>
        <v>18.420300000000001</v>
      </c>
      <c r="N36">
        <f t="shared" si="2"/>
        <v>18.387233333333331</v>
      </c>
    </row>
    <row r="37" spans="1:14" x14ac:dyDescent="0.6">
      <c r="A37">
        <v>12</v>
      </c>
      <c r="B37" t="s">
        <v>16</v>
      </c>
      <c r="C37">
        <v>16.8217</v>
      </c>
      <c r="D37">
        <v>16.9693</v>
      </c>
      <c r="E37">
        <v>16.803999999999998</v>
      </c>
      <c r="F37">
        <v>16.897600000000001</v>
      </c>
      <c r="G37">
        <v>16.825500000000002</v>
      </c>
      <c r="H37">
        <v>16.8703</v>
      </c>
      <c r="I37">
        <v>16.8735</v>
      </c>
      <c r="J37">
        <v>16.884499999999999</v>
      </c>
      <c r="K37">
        <v>16.711600000000001</v>
      </c>
      <c r="L37" s="2">
        <f t="shared" si="0"/>
        <v>16.864999999999998</v>
      </c>
      <c r="M37">
        <f t="shared" si="1"/>
        <v>16.864466666666669</v>
      </c>
      <c r="N37">
        <f t="shared" si="2"/>
        <v>16.8232</v>
      </c>
    </row>
    <row r="38" spans="1:14" x14ac:dyDescent="0.6">
      <c r="A38" s="3">
        <v>13</v>
      </c>
      <c r="B38" s="13" t="s">
        <v>19</v>
      </c>
      <c r="C38" s="14">
        <v>16.551500000000001</v>
      </c>
      <c r="D38" s="14">
        <v>16.6083</v>
      </c>
      <c r="E38" s="14">
        <v>16.547000000000001</v>
      </c>
      <c r="F38" s="14">
        <v>16.6814</v>
      </c>
      <c r="G38" s="14">
        <v>16.8598</v>
      </c>
      <c r="H38" s="14">
        <v>16.576899999999998</v>
      </c>
      <c r="L38" s="2">
        <f t="shared" ref="L38:L46" si="3">IFERROR(AVERAGE(C38:E38),"")</f>
        <v>16.568933333333334</v>
      </c>
      <c r="M38">
        <f t="shared" ref="M38:M46" si="4">IFERROR(AVERAGE(F38:H38),"")</f>
        <v>16.706033333333334</v>
      </c>
      <c r="N38" t="str">
        <f t="shared" ref="N38:N46" si="5">IFERROR(AVERAGE(I38:K38),"")</f>
        <v/>
      </c>
    </row>
    <row r="39" spans="1:14" x14ac:dyDescent="0.6">
      <c r="A39" s="3">
        <v>13</v>
      </c>
      <c r="B39" s="13" t="s">
        <v>15</v>
      </c>
      <c r="C39" s="14">
        <v>12.9124</v>
      </c>
      <c r="D39" s="14">
        <v>12.9978</v>
      </c>
      <c r="E39" s="14">
        <v>12.895</v>
      </c>
      <c r="F39" s="14">
        <v>12.900499999999999</v>
      </c>
      <c r="G39" s="14">
        <v>13.036300000000001</v>
      </c>
      <c r="H39" s="14">
        <v>12.9489</v>
      </c>
      <c r="L39" s="2">
        <f t="shared" si="3"/>
        <v>12.935066666666666</v>
      </c>
      <c r="M39">
        <f t="shared" si="4"/>
        <v>12.9619</v>
      </c>
      <c r="N39" t="str">
        <f t="shared" si="5"/>
        <v/>
      </c>
    </row>
    <row r="40" spans="1:14" x14ac:dyDescent="0.6">
      <c r="A40" s="3">
        <v>13</v>
      </c>
      <c r="B40" s="13" t="s">
        <v>16</v>
      </c>
      <c r="C40" s="14">
        <v>16.818000000000001</v>
      </c>
      <c r="D40" s="14">
        <v>16.905200000000001</v>
      </c>
      <c r="E40" s="14">
        <v>16.798100000000002</v>
      </c>
      <c r="F40" s="14">
        <v>16.886199999999999</v>
      </c>
      <c r="G40" s="14">
        <v>16.939</v>
      </c>
      <c r="H40" s="14">
        <v>16.891100000000002</v>
      </c>
      <c r="L40" s="2">
        <f t="shared" si="3"/>
        <v>16.840433333333337</v>
      </c>
      <c r="M40">
        <f t="shared" si="4"/>
        <v>16.905433333333331</v>
      </c>
      <c r="N40" t="str">
        <f t="shared" si="5"/>
        <v/>
      </c>
    </row>
    <row r="41" spans="1:14" x14ac:dyDescent="0.6">
      <c r="A41" s="3">
        <v>14</v>
      </c>
      <c r="B41" s="13" t="s">
        <v>19</v>
      </c>
      <c r="C41" s="14">
        <v>15.8757</v>
      </c>
      <c r="D41" s="14">
        <v>16.0214</v>
      </c>
      <c r="E41" s="14">
        <v>15.867900000000001</v>
      </c>
      <c r="F41" s="14">
        <v>15.995200000000001</v>
      </c>
      <c r="G41" s="14">
        <v>15.898300000000001</v>
      </c>
      <c r="H41" s="14">
        <v>15.8988</v>
      </c>
      <c r="L41" s="2">
        <f t="shared" si="3"/>
        <v>15.921666666666667</v>
      </c>
      <c r="M41">
        <f t="shared" si="4"/>
        <v>15.930766666666669</v>
      </c>
      <c r="N41" t="str">
        <f t="shared" si="5"/>
        <v/>
      </c>
    </row>
    <row r="42" spans="1:14" x14ac:dyDescent="0.6">
      <c r="A42" s="3">
        <v>14</v>
      </c>
      <c r="B42" s="13" t="s">
        <v>13</v>
      </c>
      <c r="C42" s="14">
        <v>15.341900000000001</v>
      </c>
      <c r="D42" s="14">
        <v>15.4125</v>
      </c>
      <c r="E42" s="14">
        <v>15.3186</v>
      </c>
      <c r="F42" s="14">
        <v>15.4467</v>
      </c>
      <c r="G42" s="14">
        <v>15.3398</v>
      </c>
      <c r="H42" s="14">
        <v>15.3672</v>
      </c>
      <c r="L42" s="2">
        <f t="shared" si="3"/>
        <v>15.357666666666667</v>
      </c>
      <c r="M42">
        <f t="shared" si="4"/>
        <v>15.384566666666666</v>
      </c>
      <c r="N42" t="str">
        <f t="shared" si="5"/>
        <v/>
      </c>
    </row>
    <row r="43" spans="1:14" x14ac:dyDescent="0.6">
      <c r="A43" s="3">
        <v>14</v>
      </c>
      <c r="B43" s="13" t="s">
        <v>16</v>
      </c>
      <c r="C43" s="14">
        <v>16.818000000000001</v>
      </c>
      <c r="D43" s="14">
        <v>16.905200000000001</v>
      </c>
      <c r="E43" s="14">
        <v>16.798100000000002</v>
      </c>
      <c r="F43" s="14">
        <v>16.886199999999999</v>
      </c>
      <c r="G43" s="14">
        <v>16.939</v>
      </c>
      <c r="H43" s="14">
        <v>16.891100000000002</v>
      </c>
      <c r="L43" s="2">
        <f t="shared" si="3"/>
        <v>16.840433333333337</v>
      </c>
      <c r="M43">
        <f t="shared" si="4"/>
        <v>16.905433333333331</v>
      </c>
      <c r="N43" t="str">
        <f t="shared" si="5"/>
        <v/>
      </c>
    </row>
    <row r="44" spans="1:14" x14ac:dyDescent="0.6">
      <c r="A44" s="3">
        <v>15</v>
      </c>
      <c r="B44" s="13" t="s">
        <v>15</v>
      </c>
      <c r="C44" s="14">
        <v>12.3939</v>
      </c>
      <c r="D44" s="14">
        <v>12.481299999999999</v>
      </c>
      <c r="E44" s="14">
        <v>12.3842</v>
      </c>
      <c r="F44" s="14">
        <v>12.5129</v>
      </c>
      <c r="G44" s="14">
        <v>12.519299999999999</v>
      </c>
      <c r="H44" s="14">
        <v>12.451599999999999</v>
      </c>
      <c r="L44" s="2">
        <f t="shared" si="3"/>
        <v>12.4198</v>
      </c>
      <c r="M44">
        <f t="shared" si="4"/>
        <v>12.4946</v>
      </c>
      <c r="N44" t="str">
        <f t="shared" si="5"/>
        <v/>
      </c>
    </row>
    <row r="45" spans="1:14" x14ac:dyDescent="0.6">
      <c r="A45" s="3">
        <v>15</v>
      </c>
      <c r="B45" s="13" t="s">
        <v>13</v>
      </c>
      <c r="C45" s="14">
        <v>14.519</v>
      </c>
      <c r="D45" s="14">
        <v>14.5512</v>
      </c>
      <c r="E45" s="14">
        <v>14.501300000000001</v>
      </c>
      <c r="F45" s="14">
        <v>14.534599999999999</v>
      </c>
      <c r="G45" s="14">
        <v>14.754</v>
      </c>
      <c r="H45" s="14">
        <v>14.517099999999999</v>
      </c>
      <c r="L45" s="2">
        <f t="shared" si="3"/>
        <v>14.523833333333334</v>
      </c>
      <c r="M45">
        <f t="shared" si="4"/>
        <v>14.601900000000001</v>
      </c>
      <c r="N45" t="str">
        <f t="shared" si="5"/>
        <v/>
      </c>
    </row>
    <row r="46" spans="1:14" x14ac:dyDescent="0.6">
      <c r="A46" s="3">
        <v>15</v>
      </c>
      <c r="B46" s="13" t="s">
        <v>16</v>
      </c>
      <c r="C46" s="14">
        <v>16.818000000000001</v>
      </c>
      <c r="D46" s="14">
        <v>16.905200000000001</v>
      </c>
      <c r="E46" s="14">
        <v>16.798100000000002</v>
      </c>
      <c r="F46" s="14">
        <v>16.886199999999999</v>
      </c>
      <c r="G46" s="14">
        <v>16.939</v>
      </c>
      <c r="H46" s="14">
        <v>16.891100000000002</v>
      </c>
      <c r="L46" s="2">
        <f t="shared" si="3"/>
        <v>16.840433333333337</v>
      </c>
      <c r="M46">
        <f t="shared" si="4"/>
        <v>16.905433333333331</v>
      </c>
      <c r="N46" t="str">
        <f t="shared" si="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 invasion</vt:lpstr>
      <vt:lpstr>Pre invasion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van Leeuwen</dc:creator>
  <cp:lastModifiedBy>Pietro Gadaleta</cp:lastModifiedBy>
  <dcterms:created xsi:type="dcterms:W3CDTF">2025-09-10T12:52:21Z</dcterms:created>
  <dcterms:modified xsi:type="dcterms:W3CDTF">2025-10-23T15:42:59Z</dcterms:modified>
</cp:coreProperties>
</file>
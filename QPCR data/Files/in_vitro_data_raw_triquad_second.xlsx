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p_gadaleta_uva_nl/Documents/Microbial Community Project (Pim)/Python Pietro/final version/"/>
    </mc:Choice>
  </mc:AlternateContent>
  <xr:revisionPtr revIDLastSave="2" documentId="13_ncr:1_{640F8CAF-3596-4AA4-A2DF-6911D6B68381}" xr6:coauthVersionLast="47" xr6:coauthVersionMax="47" xr10:uidLastSave="{9ED19965-AB29-4741-9D89-CE74D734C1AB}"/>
  <bookViews>
    <workbookView xWindow="57480" yWindow="-120" windowWidth="29040" windowHeight="15720" xr2:uid="{D4416282-0A6D-4730-8962-2E220880C67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2" i="1"/>
  <c r="C3" i="1"/>
  <c r="C4" i="1"/>
  <c r="C5" i="1"/>
  <c r="C6" i="1"/>
  <c r="C7" i="1"/>
  <c r="C8" i="1"/>
  <c r="C9" i="1"/>
  <c r="C10" i="1"/>
  <c r="C11" i="1"/>
  <c r="C12" i="1"/>
  <c r="C13" i="1"/>
  <c r="C14" i="1"/>
  <c r="C2" i="1"/>
  <c r="J8" i="1" l="1"/>
  <c r="J9" i="1"/>
  <c r="H3" i="1"/>
  <c r="J3" i="1" s="1"/>
  <c r="I3" i="1"/>
  <c r="H4" i="1"/>
  <c r="J4" i="1" s="1"/>
  <c r="I4" i="1"/>
  <c r="H5" i="1"/>
  <c r="J5" i="1" s="1"/>
  <c r="I5" i="1"/>
  <c r="H6" i="1"/>
  <c r="J6" i="1" s="1"/>
  <c r="I6" i="1"/>
  <c r="H7" i="1"/>
  <c r="I7" i="1"/>
  <c r="J7" i="1" s="1"/>
  <c r="H8" i="1"/>
  <c r="I8" i="1"/>
  <c r="H9" i="1"/>
  <c r="I9" i="1"/>
  <c r="H10" i="1"/>
  <c r="J10" i="1" s="1"/>
  <c r="I10" i="1"/>
  <c r="H11" i="1"/>
  <c r="J11" i="1" s="1"/>
  <c r="I11" i="1"/>
  <c r="H12" i="1"/>
  <c r="J12" i="1" s="1"/>
  <c r="I12" i="1"/>
  <c r="H13" i="1"/>
  <c r="J13" i="1" s="1"/>
  <c r="I13" i="1"/>
  <c r="H14" i="1"/>
  <c r="J14" i="1" s="1"/>
  <c r="I14" i="1"/>
  <c r="I2" i="1"/>
  <c r="J2" i="1" s="1"/>
  <c r="H2" i="1"/>
</calcChain>
</file>

<file path=xl/sharedStrings.xml><?xml version="1.0" encoding="utf-8"?>
<sst xmlns="http://schemas.openxmlformats.org/spreadsheetml/2006/main" count="42" uniqueCount="29">
  <si>
    <t>Community</t>
  </si>
  <si>
    <t>Species</t>
  </si>
  <si>
    <t>Bio1_T1</t>
  </si>
  <si>
    <t>Bio1_T2</t>
  </si>
  <si>
    <t>Bio2_T1</t>
  </si>
  <si>
    <t>Bio2_T2</t>
  </si>
  <si>
    <t>BT</t>
  </si>
  <si>
    <t>EC</t>
  </si>
  <si>
    <t>LJ</t>
  </si>
  <si>
    <t>AM</t>
  </si>
  <si>
    <t>Bio1</t>
  </si>
  <si>
    <t>Bio2</t>
  </si>
  <si>
    <t>Avg_bio</t>
  </si>
  <si>
    <t>Y = -2.536*X + 23.01</t>
  </si>
  <si>
    <t>Y = -4.708*X + 16.81</t>
  </si>
  <si>
    <t>FP</t>
  </si>
  <si>
    <t>Y = -2.274*X + 22.44</t>
  </si>
  <si>
    <t>Y = -3.937*X + 16.98</t>
  </si>
  <si>
    <t>LB</t>
  </si>
  <si>
    <t>Y = -4.402*X + 24.11</t>
  </si>
  <si>
    <t>BOV</t>
  </si>
  <si>
    <t>Y = -2.401*X + 10.82</t>
  </si>
  <si>
    <t>Y = -4.826*X + 20.31</t>
  </si>
  <si>
    <t>BA</t>
  </si>
  <si>
    <t>Y = -2.665*X + 14.77</t>
  </si>
  <si>
    <t>BOB</t>
  </si>
  <si>
    <t>Y = -5.763*X + 35.92</t>
  </si>
  <si>
    <t>Std_bio</t>
  </si>
  <si>
    <t>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</si>
</sst>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5EA1-B1B6-44ED-9662-782FBB389C8A}">
  <dimension ref="A1:K25"/>
  <sheetViews>
    <sheetView tabSelected="1" workbookViewId="0">
      <selection activeCell="C1" sqref="C1"/>
    </sheetView>
  </sheetViews>
  <sheetFormatPr defaultRowHeight="14.4" x14ac:dyDescent="0.55000000000000004"/>
  <cols>
    <col min="1" max="1" width="10.05078125" bestFit="1" customWidth="1"/>
  </cols>
  <sheetData>
    <row r="1" spans="1:11" x14ac:dyDescent="0.55000000000000004">
      <c r="A1" t="s">
        <v>0</v>
      </c>
      <c r="B1" t="s">
        <v>1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  <c r="K1" t="s">
        <v>27</v>
      </c>
    </row>
    <row r="2" spans="1:11" x14ac:dyDescent="0.55000000000000004">
      <c r="A2">
        <v>1</v>
      </c>
      <c r="B2" t="s">
        <v>6</v>
      </c>
      <c r="C2" t="str">
        <f>_xlfn.XLOOKUP(B2,A$17:A$25, B$17:B$25)</f>
        <v>Y = -4.826*X + 20.31</v>
      </c>
      <c r="D2">
        <v>18.152899999999999</v>
      </c>
      <c r="E2">
        <v>18.157399999999999</v>
      </c>
      <c r="F2">
        <v>18.136099999999999</v>
      </c>
      <c r="G2">
        <v>18.2105</v>
      </c>
      <c r="H2">
        <f>AVERAGE(D2:E2)</f>
        <v>18.155149999999999</v>
      </c>
      <c r="I2">
        <f>AVERAGE(F2:G2)</f>
        <v>18.173299999999998</v>
      </c>
      <c r="J2">
        <f>AVERAGE(H2:I2)</f>
        <v>18.164224999999998</v>
      </c>
      <c r="K2">
        <f>_xlfn.STDEV.P(H2:I2)</f>
        <v>9.0749999999992781E-3</v>
      </c>
    </row>
    <row r="3" spans="1:11" x14ac:dyDescent="0.55000000000000004">
      <c r="A3">
        <v>1</v>
      </c>
      <c r="B3" t="s">
        <v>7</v>
      </c>
      <c r="C3" t="str">
        <f t="shared" ref="C3:C14" si="0">_xlfn.XLOOKUP(B3,A$17:A$25, B$17:B$25)</f>
        <v>Y = -4.708*X + 16.81</v>
      </c>
      <c r="D3">
        <v>15.407400000000001</v>
      </c>
      <c r="E3">
        <v>15.4541</v>
      </c>
      <c r="F3">
        <v>15.394500000000001</v>
      </c>
      <c r="G3">
        <v>15.523999999999999</v>
      </c>
      <c r="H3">
        <f t="shared" ref="H3:H14" si="1">AVERAGE(D3:E3)</f>
        <v>15.43075</v>
      </c>
      <c r="I3">
        <f t="shared" ref="I3:I14" si="2">AVERAGE(F3:G3)</f>
        <v>15.459250000000001</v>
      </c>
      <c r="J3">
        <f t="shared" ref="J3:J14" si="3">AVERAGE(H3:I3)</f>
        <v>15.445</v>
      </c>
      <c r="K3">
        <f t="shared" ref="K3:K14" si="4">_xlfn.STDEV.P(H3:I3)</f>
        <v>1.425000000000054E-2</v>
      </c>
    </row>
    <row r="4" spans="1:11" x14ac:dyDescent="0.55000000000000004">
      <c r="A4">
        <v>1</v>
      </c>
      <c r="B4" t="s">
        <v>8</v>
      </c>
      <c r="C4" t="str">
        <f t="shared" si="0"/>
        <v>Y = -3.937*X + 16.98</v>
      </c>
      <c r="D4">
        <v>16.200199999999999</v>
      </c>
      <c r="E4">
        <v>16.203700000000001</v>
      </c>
      <c r="F4">
        <v>16.185099999999998</v>
      </c>
      <c r="G4">
        <v>16.251899999999999</v>
      </c>
      <c r="H4">
        <f t="shared" si="1"/>
        <v>16.20195</v>
      </c>
      <c r="I4">
        <f t="shared" si="2"/>
        <v>16.218499999999999</v>
      </c>
      <c r="J4">
        <f t="shared" si="3"/>
        <v>16.210225000000001</v>
      </c>
      <c r="K4">
        <f t="shared" si="4"/>
        <v>8.2749999999993662E-3</v>
      </c>
    </row>
    <row r="5" spans="1:11" x14ac:dyDescent="0.55000000000000004">
      <c r="A5">
        <v>2</v>
      </c>
      <c r="B5" t="s">
        <v>9</v>
      </c>
      <c r="C5" t="str">
        <f t="shared" si="0"/>
        <v>Y = -2.536*X + 23.01</v>
      </c>
      <c r="D5">
        <v>22.136199999999999</v>
      </c>
      <c r="E5">
        <v>22.337399999999999</v>
      </c>
      <c r="F5">
        <v>22.12</v>
      </c>
      <c r="G5">
        <v>22.2334</v>
      </c>
      <c r="H5">
        <f t="shared" si="1"/>
        <v>22.236799999999999</v>
      </c>
      <c r="I5">
        <f t="shared" si="2"/>
        <v>22.1767</v>
      </c>
      <c r="J5">
        <f t="shared" si="3"/>
        <v>22.20675</v>
      </c>
      <c r="K5">
        <f t="shared" si="4"/>
        <v>3.0049999999999244E-2</v>
      </c>
    </row>
    <row r="6" spans="1:11" x14ac:dyDescent="0.55000000000000004">
      <c r="A6">
        <v>2</v>
      </c>
      <c r="B6" t="s">
        <v>7</v>
      </c>
      <c r="C6" t="str">
        <f t="shared" si="0"/>
        <v>Y = -4.708*X + 16.81</v>
      </c>
      <c r="D6">
        <v>14.696099999999999</v>
      </c>
      <c r="E6">
        <v>14.7211</v>
      </c>
      <c r="F6">
        <v>14.684699999999999</v>
      </c>
      <c r="G6">
        <v>14.8309</v>
      </c>
      <c r="H6">
        <f t="shared" si="1"/>
        <v>14.708600000000001</v>
      </c>
      <c r="I6">
        <f t="shared" si="2"/>
        <v>14.7578</v>
      </c>
      <c r="J6">
        <f t="shared" si="3"/>
        <v>14.7332</v>
      </c>
      <c r="K6">
        <f t="shared" si="4"/>
        <v>2.4599999999999511E-2</v>
      </c>
    </row>
    <row r="7" spans="1:11" x14ac:dyDescent="0.55000000000000004">
      <c r="A7">
        <v>2</v>
      </c>
      <c r="B7" t="s">
        <v>8</v>
      </c>
      <c r="C7" t="str">
        <f t="shared" si="0"/>
        <v>Y = -3.937*X + 16.98</v>
      </c>
      <c r="D7">
        <v>16.2027</v>
      </c>
      <c r="E7">
        <v>16.267700000000001</v>
      </c>
      <c r="F7">
        <v>16.1873</v>
      </c>
      <c r="G7">
        <v>16.3277</v>
      </c>
      <c r="H7">
        <f t="shared" si="1"/>
        <v>16.235199999999999</v>
      </c>
      <c r="I7">
        <f t="shared" si="2"/>
        <v>16.2575</v>
      </c>
      <c r="J7">
        <f t="shared" si="3"/>
        <v>16.24635</v>
      </c>
      <c r="K7">
        <f t="shared" si="4"/>
        <v>1.1150000000000659E-2</v>
      </c>
    </row>
    <row r="8" spans="1:11" x14ac:dyDescent="0.55000000000000004">
      <c r="A8">
        <v>3</v>
      </c>
      <c r="B8" t="s">
        <v>7</v>
      </c>
      <c r="C8" t="str">
        <f t="shared" si="0"/>
        <v>Y = -4.708*X + 16.81</v>
      </c>
      <c r="D8">
        <v>14.6092</v>
      </c>
      <c r="E8">
        <v>14.7249</v>
      </c>
      <c r="F8">
        <v>14.5954</v>
      </c>
      <c r="G8">
        <v>14.6816</v>
      </c>
      <c r="H8">
        <f t="shared" si="1"/>
        <v>14.66705</v>
      </c>
      <c r="I8">
        <f t="shared" si="2"/>
        <v>14.638500000000001</v>
      </c>
      <c r="J8">
        <f t="shared" si="3"/>
        <v>14.652775</v>
      </c>
      <c r="K8">
        <f t="shared" si="4"/>
        <v>1.4274999999999594E-2</v>
      </c>
    </row>
    <row r="9" spans="1:11" x14ac:dyDescent="0.55000000000000004">
      <c r="A9">
        <v>3</v>
      </c>
      <c r="B9" t="s">
        <v>6</v>
      </c>
      <c r="C9" t="str">
        <f t="shared" si="0"/>
        <v>Y = -4.826*X + 20.31</v>
      </c>
      <c r="D9">
        <v>17.810099999999998</v>
      </c>
      <c r="E9">
        <v>17.960699999999999</v>
      </c>
      <c r="F9">
        <v>17.792400000000001</v>
      </c>
      <c r="G9">
        <v>17.860399999999998</v>
      </c>
      <c r="H9">
        <f t="shared" si="1"/>
        <v>17.885399999999997</v>
      </c>
      <c r="I9">
        <f t="shared" si="2"/>
        <v>17.8264</v>
      </c>
      <c r="J9">
        <f t="shared" si="3"/>
        <v>17.855899999999998</v>
      </c>
      <c r="K9">
        <f t="shared" si="4"/>
        <v>2.9499999999998749E-2</v>
      </c>
    </row>
    <row r="10" spans="1:11" x14ac:dyDescent="0.55000000000000004">
      <c r="A10">
        <v>3</v>
      </c>
      <c r="B10" t="s">
        <v>9</v>
      </c>
      <c r="C10" t="str">
        <f t="shared" si="0"/>
        <v>Y = -2.536*X + 23.01</v>
      </c>
      <c r="D10">
        <v>23.989599999999999</v>
      </c>
      <c r="E10">
        <v>24.096699999999998</v>
      </c>
      <c r="F10">
        <v>23.956900000000001</v>
      </c>
      <c r="G10">
        <v>24.024699999999999</v>
      </c>
      <c r="H10">
        <f t="shared" si="1"/>
        <v>24.043149999999997</v>
      </c>
      <c r="I10">
        <f t="shared" si="2"/>
        <v>23.9908</v>
      </c>
      <c r="J10">
        <f t="shared" si="3"/>
        <v>24.016974999999999</v>
      </c>
      <c r="K10">
        <f t="shared" si="4"/>
        <v>2.6174999999998505E-2</v>
      </c>
    </row>
    <row r="11" spans="1:11" x14ac:dyDescent="0.55000000000000004">
      <c r="A11">
        <v>4</v>
      </c>
      <c r="B11" t="s">
        <v>6</v>
      </c>
      <c r="C11" t="str">
        <f t="shared" si="0"/>
        <v>Y = -4.826*X + 20.31</v>
      </c>
      <c r="D11">
        <v>18.2821</v>
      </c>
      <c r="E11">
        <v>18.38</v>
      </c>
      <c r="F11">
        <v>18.2714</v>
      </c>
      <c r="G11">
        <v>18.2972</v>
      </c>
      <c r="H11">
        <f t="shared" si="1"/>
        <v>18.331049999999998</v>
      </c>
      <c r="I11">
        <f t="shared" si="2"/>
        <v>18.284300000000002</v>
      </c>
      <c r="J11">
        <f t="shared" si="3"/>
        <v>18.307675</v>
      </c>
      <c r="K11">
        <f t="shared" si="4"/>
        <v>2.3374999999997925E-2</v>
      </c>
    </row>
    <row r="12" spans="1:11" x14ac:dyDescent="0.55000000000000004">
      <c r="A12">
        <v>4</v>
      </c>
      <c r="B12" t="s">
        <v>7</v>
      </c>
      <c r="C12" t="str">
        <f t="shared" si="0"/>
        <v>Y = -4.708*X + 16.81</v>
      </c>
      <c r="D12">
        <v>15.4526</v>
      </c>
      <c r="E12">
        <v>15.542299999999999</v>
      </c>
      <c r="F12">
        <v>15.426399999999999</v>
      </c>
      <c r="G12">
        <v>15.468400000000001</v>
      </c>
      <c r="H12">
        <f t="shared" si="1"/>
        <v>15.497450000000001</v>
      </c>
      <c r="I12">
        <f t="shared" si="2"/>
        <v>15.4474</v>
      </c>
      <c r="J12">
        <f t="shared" si="3"/>
        <v>15.472425000000001</v>
      </c>
      <c r="K12">
        <f t="shared" si="4"/>
        <v>2.5025000000000297E-2</v>
      </c>
    </row>
    <row r="13" spans="1:11" x14ac:dyDescent="0.55000000000000004">
      <c r="A13">
        <v>4</v>
      </c>
      <c r="B13" t="s">
        <v>9</v>
      </c>
      <c r="C13" t="str">
        <f t="shared" si="0"/>
        <v>Y = -2.536*X + 23.01</v>
      </c>
      <c r="D13">
        <v>24.974599999999999</v>
      </c>
      <c r="E13">
        <v>25.040099999999999</v>
      </c>
      <c r="F13">
        <v>24.946200000000001</v>
      </c>
      <c r="G13">
        <v>24.989000000000001</v>
      </c>
      <c r="H13">
        <f t="shared" si="1"/>
        <v>25.007349999999999</v>
      </c>
      <c r="I13">
        <f t="shared" si="2"/>
        <v>24.967600000000001</v>
      </c>
      <c r="J13">
        <f t="shared" si="3"/>
        <v>24.987475</v>
      </c>
      <c r="K13">
        <f t="shared" si="4"/>
        <v>1.9874999999998977E-2</v>
      </c>
    </row>
    <row r="14" spans="1:11" x14ac:dyDescent="0.55000000000000004">
      <c r="A14">
        <v>4</v>
      </c>
      <c r="B14" t="s">
        <v>8</v>
      </c>
      <c r="C14" t="str">
        <f t="shared" si="0"/>
        <v>Y = -3.937*X + 16.98</v>
      </c>
      <c r="D14">
        <v>16.127300000000002</v>
      </c>
      <c r="E14">
        <v>16.193000000000001</v>
      </c>
      <c r="F14">
        <v>16.104099999999999</v>
      </c>
      <c r="G14">
        <v>16.2516</v>
      </c>
      <c r="H14">
        <f t="shared" si="1"/>
        <v>16.160150000000002</v>
      </c>
      <c r="I14">
        <f t="shared" si="2"/>
        <v>16.177849999999999</v>
      </c>
      <c r="J14">
        <f t="shared" si="3"/>
        <v>16.169</v>
      </c>
      <c r="K14">
        <f t="shared" si="4"/>
        <v>8.8499999999989143E-3</v>
      </c>
    </row>
    <row r="17" spans="1:2" x14ac:dyDescent="0.55000000000000004">
      <c r="A17" t="s">
        <v>9</v>
      </c>
      <c r="B17" t="s">
        <v>13</v>
      </c>
    </row>
    <row r="18" spans="1:2" x14ac:dyDescent="0.55000000000000004">
      <c r="A18" t="s">
        <v>7</v>
      </c>
      <c r="B18" t="s">
        <v>14</v>
      </c>
    </row>
    <row r="19" spans="1:2" x14ac:dyDescent="0.55000000000000004">
      <c r="A19" t="s">
        <v>15</v>
      </c>
      <c r="B19" t="s">
        <v>16</v>
      </c>
    </row>
    <row r="20" spans="1:2" x14ac:dyDescent="0.55000000000000004">
      <c r="A20" t="s">
        <v>8</v>
      </c>
      <c r="B20" t="s">
        <v>17</v>
      </c>
    </row>
    <row r="21" spans="1:2" x14ac:dyDescent="0.55000000000000004">
      <c r="A21" t="s">
        <v>18</v>
      </c>
      <c r="B21" t="s">
        <v>19</v>
      </c>
    </row>
    <row r="22" spans="1:2" x14ac:dyDescent="0.55000000000000004">
      <c r="A22" t="s">
        <v>20</v>
      </c>
      <c r="B22" t="s">
        <v>21</v>
      </c>
    </row>
    <row r="23" spans="1:2" x14ac:dyDescent="0.55000000000000004">
      <c r="A23" t="s">
        <v>6</v>
      </c>
      <c r="B23" t="s">
        <v>22</v>
      </c>
    </row>
    <row r="24" spans="1:2" x14ac:dyDescent="0.55000000000000004">
      <c r="A24" t="s">
        <v>23</v>
      </c>
      <c r="B24" t="s">
        <v>24</v>
      </c>
    </row>
    <row r="25" spans="1:2" x14ac:dyDescent="0.55000000000000004">
      <c r="A25" t="s">
        <v>25</v>
      </c>
      <c r="B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van Leeuwen</dc:creator>
  <cp:lastModifiedBy>Pietro Gadaleta</cp:lastModifiedBy>
  <dcterms:created xsi:type="dcterms:W3CDTF">2025-09-12T07:37:22Z</dcterms:created>
  <dcterms:modified xsi:type="dcterms:W3CDTF">2025-09-12T12:06:22Z</dcterms:modified>
</cp:coreProperties>
</file>